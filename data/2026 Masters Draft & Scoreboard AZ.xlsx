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.melbye\Desktop\Transfer Papers\Masters\2026\"/>
    </mc:Choice>
  </mc:AlternateContent>
  <xr:revisionPtr revIDLastSave="0" documentId="13_ncr:1_{F1E2C262-44F6-4050-B4DF-6E2C8BF6F8B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structions" sheetId="1" r:id="rId1"/>
    <sheet name="Draft_Import" sheetId="2" r:id="rId2"/>
    <sheet name="Draft_Helper" sheetId="3" state="hidden" r:id="rId3"/>
    <sheet name="Team_Scoring" sheetId="4" r:id="rId4"/>
    <sheet name="Team_Summary" sheetId="5" r:id="rId5"/>
    <sheet name="Drafted Teams" sheetId="6" r:id="rId6"/>
    <sheet name="Scores" sheetId="9" r:id="rId7"/>
  </sheets>
  <definedNames>
    <definedName name="ExternalData_1" localSheetId="6" hidden="1">Scores!$A$1:$K$92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 a="1"/>
  <c r="E3" i="6" s="1"/>
  <c r="E15" i="6" a="1"/>
  <c r="E15" i="6" s="1"/>
  <c r="D15" i="6" a="1"/>
  <c r="D15" i="6" s="1"/>
  <c r="C15" i="6" a="1"/>
  <c r="C15" i="6" s="1"/>
  <c r="B15" i="6" a="1"/>
  <c r="B15" i="6" s="1"/>
  <c r="A15" i="6" a="1"/>
  <c r="A15" i="6" s="1"/>
  <c r="D3" i="6" a="1"/>
  <c r="D3" i="6" s="1"/>
  <c r="C3" i="6" a="1"/>
  <c r="C3" i="6" s="1"/>
  <c r="B3" i="6" a="1"/>
  <c r="B3" i="6" s="1"/>
  <c r="A3" i="6" a="1"/>
  <c r="A3" i="6" s="1"/>
  <c r="S12" i="4"/>
  <c r="O12" i="4"/>
  <c r="K12" i="4"/>
  <c r="G12" i="4"/>
  <c r="C12" i="4"/>
  <c r="S1" i="3"/>
  <c r="Q1" i="3"/>
  <c r="Q183" i="3" s="1"/>
  <c r="O1" i="3"/>
  <c r="M1" i="3"/>
  <c r="M183" i="3" s="1"/>
  <c r="K1" i="3"/>
  <c r="I1" i="3"/>
  <c r="I204" i="3" s="1"/>
  <c r="G1" i="3"/>
  <c r="E1" i="3"/>
  <c r="E179" i="3" s="1"/>
  <c r="C1" i="3"/>
  <c r="A1" i="3"/>
  <c r="A248" i="3" s="1"/>
  <c r="E70" i="3" l="1"/>
  <c r="I70" i="3"/>
  <c r="M30" i="3"/>
  <c r="A70" i="3"/>
  <c r="M72" i="3"/>
  <c r="M32" i="3"/>
  <c r="M70" i="3"/>
  <c r="M86" i="3"/>
  <c r="M93" i="3"/>
  <c r="E80" i="3"/>
  <c r="M117" i="3"/>
  <c r="M138" i="3"/>
  <c r="M147" i="3"/>
  <c r="M159" i="3"/>
  <c r="M120" i="3"/>
  <c r="I24" i="3"/>
  <c r="A15" i="3"/>
  <c r="M94" i="3"/>
  <c r="M150" i="3"/>
  <c r="M24" i="3"/>
  <c r="M26" i="3"/>
  <c r="I160" i="3"/>
  <c r="E30" i="3"/>
  <c r="M164" i="3"/>
  <c r="I30" i="3"/>
  <c r="M168" i="3"/>
  <c r="E45" i="3"/>
  <c r="M45" i="3"/>
  <c r="M46" i="3"/>
  <c r="E99" i="3"/>
  <c r="E201" i="3"/>
  <c r="I56" i="3"/>
  <c r="I6" i="3"/>
  <c r="M56" i="3"/>
  <c r="M113" i="3"/>
  <c r="M218" i="3"/>
  <c r="E159" i="3"/>
  <c r="E89" i="3"/>
  <c r="I89" i="3"/>
  <c r="M171" i="3"/>
  <c r="I96" i="3"/>
  <c r="M197" i="3"/>
  <c r="I198" i="3"/>
  <c r="M53" i="3"/>
  <c r="E100" i="3"/>
  <c r="M198" i="3"/>
  <c r="I4" i="3"/>
  <c r="I100" i="3"/>
  <c r="M4" i="3"/>
  <c r="I113" i="3"/>
  <c r="M6" i="3"/>
  <c r="M67" i="3"/>
  <c r="I114" i="3"/>
  <c r="I219" i="3"/>
  <c r="A39" i="3"/>
  <c r="I45" i="3"/>
  <c r="M192" i="3"/>
  <c r="M96" i="3"/>
  <c r="I53" i="3"/>
  <c r="E4" i="3"/>
  <c r="M54" i="3"/>
  <c r="I201" i="3"/>
  <c r="E14" i="3"/>
  <c r="M69" i="3"/>
  <c r="M114" i="3"/>
  <c r="M223" i="3"/>
  <c r="A198" i="3"/>
  <c r="E10" i="3"/>
  <c r="A72" i="3"/>
  <c r="A32" i="3"/>
  <c r="A54" i="3"/>
  <c r="A123" i="3"/>
  <c r="A168" i="3"/>
  <c r="I10" i="3"/>
  <c r="E32" i="3"/>
  <c r="E54" i="3"/>
  <c r="E72" i="3"/>
  <c r="M97" i="3"/>
  <c r="E123" i="3"/>
  <c r="I168" i="3"/>
  <c r="M201" i="3"/>
  <c r="I12" i="3"/>
  <c r="I32" i="3"/>
  <c r="I54" i="3"/>
  <c r="I72" i="3"/>
  <c r="A99" i="3"/>
  <c r="I123" i="3"/>
  <c r="I218" i="3"/>
  <c r="A10" i="3"/>
  <c r="A138" i="3"/>
  <c r="A169" i="3"/>
  <c r="I14" i="3"/>
  <c r="E34" i="3"/>
  <c r="M55" i="3"/>
  <c r="M79" i="3"/>
  <c r="A100" i="3"/>
  <c r="I138" i="3"/>
  <c r="I171" i="3"/>
  <c r="E219" i="3"/>
  <c r="E15" i="3"/>
  <c r="E39" i="3"/>
  <c r="A81" i="3"/>
  <c r="I222" i="3"/>
  <c r="E81" i="3"/>
  <c r="I173" i="3"/>
  <c r="I39" i="3"/>
  <c r="E139" i="3"/>
  <c r="M2" i="3"/>
  <c r="A16" i="3"/>
  <c r="E40" i="3"/>
  <c r="M58" i="3"/>
  <c r="I81" i="3"/>
  <c r="E102" i="3"/>
  <c r="I139" i="3"/>
  <c r="M173" i="3"/>
  <c r="M227" i="3"/>
  <c r="I58" i="3"/>
  <c r="A3" i="3"/>
  <c r="E16" i="3"/>
  <c r="I40" i="3"/>
  <c r="E61" i="3"/>
  <c r="M81" i="3"/>
  <c r="I102" i="3"/>
  <c r="A142" i="3"/>
  <c r="E185" i="3"/>
  <c r="E233" i="3"/>
  <c r="I15" i="3"/>
  <c r="E3" i="3"/>
  <c r="I16" i="3"/>
  <c r="M40" i="3"/>
  <c r="I61" i="3"/>
  <c r="E82" i="3"/>
  <c r="A111" i="3"/>
  <c r="I142" i="3"/>
  <c r="I185" i="3"/>
  <c r="I233" i="3"/>
  <c r="A172" i="3"/>
  <c r="I3" i="3"/>
  <c r="I17" i="3"/>
  <c r="M42" i="3"/>
  <c r="I65" i="3"/>
  <c r="I82" i="3"/>
  <c r="E111" i="3"/>
  <c r="M142" i="3"/>
  <c r="M185" i="3"/>
  <c r="M233" i="3"/>
  <c r="I101" i="3"/>
  <c r="M3" i="3"/>
  <c r="M22" i="3"/>
  <c r="M44" i="3"/>
  <c r="M65" i="3"/>
  <c r="M82" i="3"/>
  <c r="I111" i="3"/>
  <c r="M143" i="3"/>
  <c r="I186" i="3"/>
  <c r="I236" i="3"/>
  <c r="A139" i="3"/>
  <c r="A4" i="3"/>
  <c r="E24" i="3"/>
  <c r="A45" i="3"/>
  <c r="I67" i="3"/>
  <c r="M83" i="3"/>
  <c r="M111" i="3"/>
  <c r="I144" i="3"/>
  <c r="M186" i="3"/>
  <c r="M236" i="3"/>
  <c r="A237" i="3"/>
  <c r="M7" i="3"/>
  <c r="I19" i="3"/>
  <c r="I34" i="3"/>
  <c r="A47" i="3"/>
  <c r="I62" i="3"/>
  <c r="I74" i="3"/>
  <c r="M89" i="3"/>
  <c r="M102" i="3"/>
  <c r="I124" i="3"/>
  <c r="I154" i="3"/>
  <c r="I176" i="3"/>
  <c r="E203" i="3"/>
  <c r="E237" i="3"/>
  <c r="A8" i="3"/>
  <c r="A21" i="3"/>
  <c r="M34" i="3"/>
  <c r="E47" i="3"/>
  <c r="M62" i="3"/>
  <c r="M74" i="3"/>
  <c r="A91" i="3"/>
  <c r="M104" i="3"/>
  <c r="M124" i="3"/>
  <c r="M154" i="3"/>
  <c r="M176" i="3"/>
  <c r="I203" i="3"/>
  <c r="I238" i="3"/>
  <c r="E8" i="3"/>
  <c r="E21" i="3"/>
  <c r="I36" i="3"/>
  <c r="I47" i="3"/>
  <c r="A63" i="3"/>
  <c r="I75" i="3"/>
  <c r="E91" i="3"/>
  <c r="M105" i="3"/>
  <c r="A127" i="3"/>
  <c r="I155" i="3"/>
  <c r="M177" i="3"/>
  <c r="M209" i="3"/>
  <c r="M238" i="3"/>
  <c r="I8" i="3"/>
  <c r="I21" i="3"/>
  <c r="M36" i="3"/>
  <c r="M47" i="3"/>
  <c r="E63" i="3"/>
  <c r="I76" i="3"/>
  <c r="I91" i="3"/>
  <c r="I107" i="3"/>
  <c r="E127" i="3"/>
  <c r="M155" i="3"/>
  <c r="E181" i="3"/>
  <c r="M213" i="3"/>
  <c r="I241" i="3"/>
  <c r="A9" i="3"/>
  <c r="A22" i="3"/>
  <c r="E38" i="3"/>
  <c r="I51" i="3"/>
  <c r="I63" i="3"/>
  <c r="M76" i="3"/>
  <c r="M91" i="3"/>
  <c r="M107" i="3"/>
  <c r="I127" i="3"/>
  <c r="A156" i="3"/>
  <c r="A182" i="3"/>
  <c r="A215" i="3"/>
  <c r="M241" i="3"/>
  <c r="E9" i="3"/>
  <c r="E22" i="3"/>
  <c r="I38" i="3"/>
  <c r="M51" i="3"/>
  <c r="M63" i="3"/>
  <c r="E79" i="3"/>
  <c r="E92" i="3"/>
  <c r="A110" i="3"/>
  <c r="M127" i="3"/>
  <c r="I156" i="3"/>
  <c r="I182" i="3"/>
  <c r="E215" i="3"/>
  <c r="M245" i="3"/>
  <c r="I9" i="3"/>
  <c r="I22" i="3"/>
  <c r="M38" i="3"/>
  <c r="I52" i="3"/>
  <c r="M64" i="3"/>
  <c r="I79" i="3"/>
  <c r="I92" i="3"/>
  <c r="E110" i="3"/>
  <c r="M133" i="3"/>
  <c r="M156" i="3"/>
  <c r="M182" i="3"/>
  <c r="M215" i="3"/>
  <c r="M247" i="3"/>
  <c r="A203" i="3"/>
  <c r="A189" i="3"/>
  <c r="A92" i="3"/>
  <c r="A5" i="3"/>
  <c r="E189" i="3"/>
  <c r="A24" i="3"/>
  <c r="E65" i="3"/>
  <c r="E114" i="3"/>
  <c r="A11" i="3"/>
  <c r="E41" i="3"/>
  <c r="A18" i="3"/>
  <c r="A35" i="3"/>
  <c r="E49" i="3"/>
  <c r="A147" i="3"/>
  <c r="I161" i="3"/>
  <c r="I206" i="3"/>
  <c r="I242" i="3"/>
  <c r="M5" i="3"/>
  <c r="I11" i="3"/>
  <c r="E18" i="3"/>
  <c r="E26" i="3"/>
  <c r="E35" i="3"/>
  <c r="E42" i="3"/>
  <c r="I49" i="3"/>
  <c r="A58" i="3"/>
  <c r="A67" i="3"/>
  <c r="A75" i="3"/>
  <c r="I84" i="3"/>
  <c r="E94" i="3"/>
  <c r="E105" i="3"/>
  <c r="I116" i="3"/>
  <c r="M130" i="3"/>
  <c r="E147" i="3"/>
  <c r="A163" i="3"/>
  <c r="A177" i="3"/>
  <c r="I189" i="3"/>
  <c r="M206" i="3"/>
  <c r="I224" i="3"/>
  <c r="M242" i="3"/>
  <c r="A114" i="3"/>
  <c r="A222" i="3"/>
  <c r="A49" i="3"/>
  <c r="A130" i="3"/>
  <c r="A206" i="3"/>
  <c r="I5" i="3"/>
  <c r="E11" i="3"/>
  <c r="A26" i="3"/>
  <c r="I41" i="3"/>
  <c r="A94" i="3"/>
  <c r="A105" i="3"/>
  <c r="I130" i="3"/>
  <c r="A224" i="3"/>
  <c r="A6" i="3"/>
  <c r="A12" i="3"/>
  <c r="I18" i="3"/>
  <c r="I26" i="3"/>
  <c r="A36" i="3"/>
  <c r="I42" i="3"/>
  <c r="M49" i="3"/>
  <c r="E58" i="3"/>
  <c r="E67" i="3"/>
  <c r="E75" i="3"/>
  <c r="M84" i="3"/>
  <c r="I94" i="3"/>
  <c r="I105" i="3"/>
  <c r="M116" i="3"/>
  <c r="A131" i="3"/>
  <c r="I147" i="3"/>
  <c r="E163" i="3"/>
  <c r="E177" i="3"/>
  <c r="M189" i="3"/>
  <c r="A207" i="3"/>
  <c r="M224" i="3"/>
  <c r="I245" i="3"/>
  <c r="E6" i="3"/>
  <c r="E12" i="3"/>
  <c r="A19" i="3"/>
  <c r="E36" i="3"/>
  <c r="E50" i="3"/>
  <c r="A86" i="3"/>
  <c r="E131" i="3"/>
  <c r="I164" i="3"/>
  <c r="I177" i="3"/>
  <c r="E207" i="3"/>
  <c r="I227" i="3"/>
  <c r="A160" i="3"/>
  <c r="E19" i="3"/>
  <c r="A28" i="3"/>
  <c r="A43" i="3"/>
  <c r="E51" i="3"/>
  <c r="E96" i="3"/>
  <c r="E107" i="3"/>
  <c r="A118" i="3"/>
  <c r="I150" i="3"/>
  <c r="A193" i="3"/>
  <c r="E135" i="3"/>
  <c r="A17" i="3"/>
  <c r="A13" i="3"/>
  <c r="E28" i="3"/>
  <c r="E43" i="3"/>
  <c r="A60" i="3"/>
  <c r="E118" i="3"/>
  <c r="A165" i="3"/>
  <c r="A194" i="3"/>
  <c r="A228" i="3"/>
  <c r="A7" i="3"/>
  <c r="A20" i="3"/>
  <c r="A37" i="3"/>
  <c r="E60" i="3"/>
  <c r="A77" i="3"/>
  <c r="E87" i="3"/>
  <c r="A120" i="3"/>
  <c r="E165" i="3"/>
  <c r="I180" i="3"/>
  <c r="I194" i="3"/>
  <c r="I228" i="3"/>
  <c r="I1" i="4"/>
  <c r="A4" i="5" s="1"/>
  <c r="E2" i="3"/>
  <c r="E7" i="3"/>
  <c r="I13" i="3"/>
  <c r="E20" i="3"/>
  <c r="M28" i="3"/>
  <c r="E37" i="3"/>
  <c r="M43" i="3"/>
  <c r="A52" i="3"/>
  <c r="I60" i="3"/>
  <c r="I68" i="3"/>
  <c r="E77" i="3"/>
  <c r="I87" i="3"/>
  <c r="A97" i="3"/>
  <c r="A108" i="3"/>
  <c r="E120" i="3"/>
  <c r="I135" i="3"/>
  <c r="E151" i="3"/>
  <c r="I165" i="3"/>
  <c r="M180" i="3"/>
  <c r="M194" i="3"/>
  <c r="M210" i="3"/>
  <c r="M229" i="3"/>
  <c r="Q1" i="4"/>
  <c r="A6" i="5" s="1"/>
  <c r="A34" i="3"/>
  <c r="A186" i="3"/>
  <c r="A56" i="3"/>
  <c r="E17" i="3"/>
  <c r="A41" i="3"/>
  <c r="E56" i="3"/>
  <c r="E74" i="3"/>
  <c r="A176" i="3"/>
  <c r="E5" i="3"/>
  <c r="A68" i="3"/>
  <c r="A87" i="3"/>
  <c r="A135" i="3"/>
  <c r="A180" i="3"/>
  <c r="A210" i="3"/>
  <c r="A1" i="4"/>
  <c r="A2" i="5" s="1"/>
  <c r="A2" i="3"/>
  <c r="E13" i="3"/>
  <c r="I28" i="3"/>
  <c r="I43" i="3"/>
  <c r="E68" i="3"/>
  <c r="A151" i="3"/>
  <c r="I210" i="3"/>
  <c r="I2" i="3"/>
  <c r="I7" i="3"/>
  <c r="A14" i="3"/>
  <c r="I20" i="3"/>
  <c r="A30" i="3"/>
  <c r="A38" i="3"/>
  <c r="I44" i="3"/>
  <c r="E52" i="3"/>
  <c r="A61" i="3"/>
  <c r="I69" i="3"/>
  <c r="A79" i="3"/>
  <c r="A89" i="3"/>
  <c r="I97" i="3"/>
  <c r="E108" i="3"/>
  <c r="I120" i="3"/>
  <c r="M135" i="3"/>
  <c r="M152" i="3"/>
  <c r="M167" i="3"/>
  <c r="A181" i="3"/>
  <c r="I197" i="3"/>
  <c r="M211" i="3"/>
  <c r="M232" i="3"/>
  <c r="I16" i="4"/>
  <c r="A9" i="5" s="1"/>
  <c r="O130" i="3"/>
  <c r="O123" i="3"/>
  <c r="O121" i="3"/>
  <c r="O119" i="3"/>
  <c r="O117" i="3"/>
  <c r="O115" i="3"/>
  <c r="O113" i="3"/>
  <c r="O111" i="3"/>
  <c r="O109" i="3"/>
  <c r="O107" i="3"/>
  <c r="O105" i="3"/>
  <c r="O103" i="3"/>
  <c r="O101" i="3"/>
  <c r="O99" i="3"/>
  <c r="O97" i="3"/>
  <c r="O95" i="3"/>
  <c r="O93" i="3"/>
  <c r="O91" i="3"/>
  <c r="O89" i="3"/>
  <c r="O87" i="3"/>
  <c r="O85" i="3"/>
  <c r="O83" i="3"/>
  <c r="O81" i="3"/>
  <c r="O79" i="3"/>
  <c r="O77" i="3"/>
  <c r="O75" i="3"/>
  <c r="O73" i="3"/>
  <c r="O71" i="3"/>
  <c r="O69" i="3"/>
  <c r="O67" i="3"/>
  <c r="O65" i="3"/>
  <c r="O63" i="3"/>
  <c r="O61" i="3"/>
  <c r="O59" i="3"/>
  <c r="O246" i="3"/>
  <c r="O238" i="3"/>
  <c r="O230" i="3"/>
  <c r="O222" i="3"/>
  <c r="O214" i="3"/>
  <c r="O206" i="3"/>
  <c r="O198" i="3"/>
  <c r="O190" i="3"/>
  <c r="O182" i="3"/>
  <c r="O174" i="3"/>
  <c r="O166" i="3"/>
  <c r="O158" i="3"/>
  <c r="O150" i="3"/>
  <c r="O142" i="3"/>
  <c r="O129" i="3"/>
  <c r="O208" i="3"/>
  <c r="O199" i="3"/>
  <c r="O193" i="3"/>
  <c r="O187" i="3"/>
  <c r="O58" i="3"/>
  <c r="O56" i="3"/>
  <c r="O54" i="3"/>
  <c r="O52" i="3"/>
  <c r="O50" i="3"/>
  <c r="O48" i="3"/>
  <c r="O46" i="3"/>
  <c r="O44" i="3"/>
  <c r="O42" i="3"/>
  <c r="O40" i="3"/>
  <c r="O38" i="3"/>
  <c r="O36" i="3"/>
  <c r="O34" i="3"/>
  <c r="O32" i="3"/>
  <c r="O202" i="3"/>
  <c r="O196" i="3"/>
  <c r="O181" i="3"/>
  <c r="O134" i="3"/>
  <c r="O131" i="3"/>
  <c r="O110" i="3"/>
  <c r="O249" i="3"/>
  <c r="O243" i="3"/>
  <c r="O184" i="3"/>
  <c r="O175" i="3"/>
  <c r="O169" i="3"/>
  <c r="O163" i="3"/>
  <c r="O62" i="3"/>
  <c r="O237" i="3"/>
  <c r="O178" i="3"/>
  <c r="O172" i="3"/>
  <c r="O157" i="3"/>
  <c r="O112" i="3"/>
  <c r="O92" i="3"/>
  <c r="O240" i="3"/>
  <c r="O231" i="3"/>
  <c r="O225" i="3"/>
  <c r="O219" i="3"/>
  <c r="O160" i="3"/>
  <c r="O151" i="3"/>
  <c r="O145" i="3"/>
  <c r="O139" i="3"/>
  <c r="O234" i="3"/>
  <c r="O228" i="3"/>
  <c r="O213" i="3"/>
  <c r="O154" i="3"/>
  <c r="O148" i="3"/>
  <c r="O128" i="3"/>
  <c r="O114" i="3"/>
  <c r="O183" i="3"/>
  <c r="O179" i="3"/>
  <c r="O137" i="3"/>
  <c r="O33" i="3"/>
  <c r="O204" i="3"/>
  <c r="O162" i="3"/>
  <c r="O90" i="3"/>
  <c r="O66" i="3"/>
  <c r="O35" i="3"/>
  <c r="O235" i="3"/>
  <c r="O221" i="3"/>
  <c r="O217" i="3"/>
  <c r="O200" i="3"/>
  <c r="O195" i="3"/>
  <c r="O153" i="3"/>
  <c r="O80" i="3"/>
  <c r="O37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O239" i="3"/>
  <c r="O149" i="3"/>
  <c r="O136" i="3"/>
  <c r="O118" i="3"/>
  <c r="O106" i="3"/>
  <c r="O39" i="3"/>
  <c r="O248" i="3"/>
  <c r="O244" i="3"/>
  <c r="O226" i="3"/>
  <c r="O216" i="3"/>
  <c r="O191" i="3"/>
  <c r="O68" i="3"/>
  <c r="O41" i="3"/>
  <c r="O212" i="3"/>
  <c r="O170" i="3"/>
  <c r="O165" i="3"/>
  <c r="O100" i="3"/>
  <c r="O43" i="3"/>
  <c r="O207" i="3"/>
  <c r="O203" i="3"/>
  <c r="O161" i="3"/>
  <c r="O144" i="3"/>
  <c r="O132" i="3"/>
  <c r="O82" i="3"/>
  <c r="O186" i="3"/>
  <c r="O140" i="3"/>
  <c r="O70" i="3"/>
  <c r="O45" i="3"/>
  <c r="O177" i="3"/>
  <c r="O127" i="3"/>
  <c r="O124" i="3"/>
  <c r="O233" i="3"/>
  <c r="O229" i="3"/>
  <c r="O173" i="3"/>
  <c r="O156" i="3"/>
  <c r="O135" i="3"/>
  <c r="O108" i="3"/>
  <c r="O94" i="3"/>
  <c r="O47" i="3"/>
  <c r="O30" i="3"/>
  <c r="O28" i="3"/>
  <c r="O26" i="3"/>
  <c r="O24" i="3"/>
  <c r="O22" i="3"/>
  <c r="O247" i="3"/>
  <c r="O224" i="3"/>
  <c r="O220" i="3"/>
  <c r="O215" i="3"/>
  <c r="O211" i="3"/>
  <c r="O152" i="3"/>
  <c r="O147" i="3"/>
  <c r="O84" i="3"/>
  <c r="O72" i="3"/>
  <c r="O242" i="3"/>
  <c r="O194" i="3"/>
  <c r="O189" i="3"/>
  <c r="O120" i="3"/>
  <c r="O102" i="3"/>
  <c r="O49" i="3"/>
  <c r="O185" i="3"/>
  <c r="O168" i="3"/>
  <c r="O143" i="3"/>
  <c r="O210" i="3"/>
  <c r="O74" i="3"/>
  <c r="O60" i="3"/>
  <c r="O51" i="3"/>
  <c r="O164" i="3"/>
  <c r="O201" i="3"/>
  <c r="O159" i="3"/>
  <c r="O155" i="3"/>
  <c r="O96" i="3"/>
  <c r="O86" i="3"/>
  <c r="O227" i="3"/>
  <c r="O197" i="3"/>
  <c r="O180" i="3"/>
  <c r="O138" i="3"/>
  <c r="O116" i="3"/>
  <c r="O53" i="3"/>
  <c r="O245" i="3"/>
  <c r="O241" i="3"/>
  <c r="O223" i="3"/>
  <c r="O176" i="3"/>
  <c r="O171" i="3"/>
  <c r="O76" i="3"/>
  <c r="O236" i="3"/>
  <c r="O232" i="3"/>
  <c r="O218" i="3"/>
  <c r="O133" i="3"/>
  <c r="O126" i="3"/>
  <c r="O104" i="3"/>
  <c r="O55" i="3"/>
  <c r="O209" i="3"/>
  <c r="O192" i="3"/>
  <c r="O167" i="3"/>
  <c r="O88" i="3"/>
  <c r="O64" i="3"/>
  <c r="O250" i="3"/>
  <c r="O205" i="3"/>
  <c r="O188" i="3"/>
  <c r="O146" i="3"/>
  <c r="O141" i="3"/>
  <c r="O125" i="3"/>
  <c r="O122" i="3"/>
  <c r="O98" i="3"/>
  <c r="O78" i="3"/>
  <c r="O57" i="3"/>
  <c r="O31" i="3"/>
  <c r="O29" i="3"/>
  <c r="O27" i="3"/>
  <c r="O25" i="3"/>
  <c r="O23" i="3"/>
  <c r="Q16" i="4"/>
  <c r="A11" i="5" s="1"/>
  <c r="S249" i="3"/>
  <c r="S244" i="3"/>
  <c r="S241" i="3"/>
  <c r="S236" i="3"/>
  <c r="S233" i="3"/>
  <c r="S228" i="3"/>
  <c r="S225" i="3"/>
  <c r="S220" i="3"/>
  <c r="S217" i="3"/>
  <c r="S212" i="3"/>
  <c r="S209" i="3"/>
  <c r="S204" i="3"/>
  <c r="S201" i="3"/>
  <c r="S196" i="3"/>
  <c r="S193" i="3"/>
  <c r="S188" i="3"/>
  <c r="S185" i="3"/>
  <c r="S180" i="3"/>
  <c r="S177" i="3"/>
  <c r="S172" i="3"/>
  <c r="S169" i="3"/>
  <c r="S164" i="3"/>
  <c r="S161" i="3"/>
  <c r="S156" i="3"/>
  <c r="S153" i="3"/>
  <c r="S148" i="3"/>
  <c r="S145" i="3"/>
  <c r="S140" i="3"/>
  <c r="S137" i="3"/>
  <c r="S127" i="3"/>
  <c r="S134" i="3"/>
  <c r="S202" i="3"/>
  <c r="S175" i="3"/>
  <c r="S62" i="3"/>
  <c r="S243" i="3"/>
  <c r="S237" i="3"/>
  <c r="S190" i="3"/>
  <c r="S184" i="3"/>
  <c r="S163" i="3"/>
  <c r="S157" i="3"/>
  <c r="S121" i="3"/>
  <c r="S112" i="3"/>
  <c r="S101" i="3"/>
  <c r="S231" i="3"/>
  <c r="S178" i="3"/>
  <c r="S151" i="3"/>
  <c r="S66" i="3"/>
  <c r="S246" i="3"/>
  <c r="S240" i="3"/>
  <c r="S219" i="3"/>
  <c r="S213" i="3"/>
  <c r="S166" i="3"/>
  <c r="S160" i="3"/>
  <c r="S139" i="3"/>
  <c r="S128" i="3"/>
  <c r="S123" i="3"/>
  <c r="S114" i="3"/>
  <c r="S103" i="3"/>
  <c r="S94" i="3"/>
  <c r="S234" i="3"/>
  <c r="S207" i="3"/>
  <c r="S154" i="3"/>
  <c r="S222" i="3"/>
  <c r="S216" i="3"/>
  <c r="S195" i="3"/>
  <c r="S189" i="3"/>
  <c r="S142" i="3"/>
  <c r="S136" i="3"/>
  <c r="S133" i="3"/>
  <c r="S116" i="3"/>
  <c r="S221" i="3"/>
  <c r="S162" i="3"/>
  <c r="S90" i="3"/>
  <c r="S85" i="3"/>
  <c r="S80" i="3"/>
  <c r="S59" i="3"/>
  <c r="S37" i="3"/>
  <c r="S239" i="3"/>
  <c r="S235" i="3"/>
  <c r="S200" i="3"/>
  <c r="S158" i="3"/>
  <c r="S149" i="3"/>
  <c r="S118" i="3"/>
  <c r="S106" i="3"/>
  <c r="S73" i="3"/>
  <c r="S50" i="3"/>
  <c r="S39" i="3"/>
  <c r="S191" i="3"/>
  <c r="S95" i="3"/>
  <c r="S68" i="3"/>
  <c r="S41" i="3"/>
  <c r="S248" i="3"/>
  <c r="S230" i="3"/>
  <c r="S226" i="3"/>
  <c r="S187" i="3"/>
  <c r="S174" i="3"/>
  <c r="S165" i="3"/>
  <c r="S115" i="3"/>
  <c r="S100" i="3"/>
  <c r="S61" i="3"/>
  <c r="S52" i="3"/>
  <c r="S43" i="3"/>
  <c r="S170" i="3"/>
  <c r="S132" i="3"/>
  <c r="S92" i="3"/>
  <c r="S87" i="3"/>
  <c r="S82" i="3"/>
  <c r="S75" i="3"/>
  <c r="S208" i="3"/>
  <c r="S203" i="3"/>
  <c r="S144" i="3"/>
  <c r="S70" i="3"/>
  <c r="S54" i="3"/>
  <c r="S45" i="3"/>
  <c r="S199" i="3"/>
  <c r="S186" i="3"/>
  <c r="S124" i="3"/>
  <c r="S63" i="3"/>
  <c r="S229" i="3"/>
  <c r="S182" i="3"/>
  <c r="S173" i="3"/>
  <c r="S135" i="3"/>
  <c r="S111" i="3"/>
  <c r="S108" i="3"/>
  <c r="S105" i="3"/>
  <c r="S97" i="3"/>
  <c r="S77" i="3"/>
  <c r="S56" i="3"/>
  <c r="S47" i="3"/>
  <c r="S30" i="3"/>
  <c r="S28" i="3"/>
  <c r="S26" i="3"/>
  <c r="S24" i="3"/>
  <c r="S22" i="3"/>
  <c r="S247" i="3"/>
  <c r="S215" i="3"/>
  <c r="S89" i="3"/>
  <c r="S84" i="3"/>
  <c r="S72" i="3"/>
  <c r="S32" i="3"/>
  <c r="S224" i="3"/>
  <c r="S211" i="3"/>
  <c r="S198" i="3"/>
  <c r="S152" i="3"/>
  <c r="S147" i="3"/>
  <c r="S131" i="3"/>
  <c r="S120" i="3"/>
  <c r="S102" i="3"/>
  <c r="S65" i="3"/>
  <c r="S58" i="3"/>
  <c r="S49" i="3"/>
  <c r="S34" i="3"/>
  <c r="S242" i="3"/>
  <c r="S238" i="3"/>
  <c r="S194" i="3"/>
  <c r="S143" i="3"/>
  <c r="S79" i="3"/>
  <c r="S36" i="3"/>
  <c r="S181" i="3"/>
  <c r="S168" i="3"/>
  <c r="S117" i="3"/>
  <c r="S74" i="3"/>
  <c r="S51" i="3"/>
  <c r="S38" i="3"/>
  <c r="S210" i="3"/>
  <c r="S159" i="3"/>
  <c r="S96" i="3"/>
  <c r="S91" i="3"/>
  <c r="S86" i="3"/>
  <c r="S67" i="3"/>
  <c r="S60" i="3"/>
  <c r="S40" i="3"/>
  <c r="S206" i="3"/>
  <c r="S197" i="3"/>
  <c r="S155" i="3"/>
  <c r="S107" i="3"/>
  <c r="S99" i="3"/>
  <c r="S81" i="3"/>
  <c r="S53" i="3"/>
  <c r="S42" i="3"/>
  <c r="S130" i="3"/>
  <c r="S245" i="3"/>
  <c r="S227" i="3"/>
  <c r="S223" i="3"/>
  <c r="S138" i="3"/>
  <c r="S76" i="3"/>
  <c r="S176" i="3"/>
  <c r="S171" i="3"/>
  <c r="S126" i="3"/>
  <c r="S113" i="3"/>
  <c r="S110" i="3"/>
  <c r="S104" i="3"/>
  <c r="S69" i="3"/>
  <c r="S55" i="3"/>
  <c r="S44" i="3"/>
  <c r="S232" i="3"/>
  <c r="S218" i="3"/>
  <c r="S167" i="3"/>
  <c r="S88" i="3"/>
  <c r="S83" i="3"/>
  <c r="S214" i="3"/>
  <c r="S205" i="3"/>
  <c r="S192" i="3"/>
  <c r="S150" i="3"/>
  <c r="S141" i="3"/>
  <c r="S122" i="3"/>
  <c r="S98" i="3"/>
  <c r="S93" i="3"/>
  <c r="S78" i="3"/>
  <c r="S64" i="3"/>
  <c r="S57" i="3"/>
  <c r="S46" i="3"/>
  <c r="S31" i="3"/>
  <c r="S29" i="3"/>
  <c r="S27" i="3"/>
  <c r="S25" i="3"/>
  <c r="S23" i="3"/>
  <c r="S250" i="3"/>
  <c r="S183" i="3"/>
  <c r="S146" i="3"/>
  <c r="S129" i="3"/>
  <c r="S125" i="3"/>
  <c r="S71" i="3"/>
  <c r="S33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S179" i="3"/>
  <c r="S119" i="3"/>
  <c r="S109" i="3"/>
  <c r="S48" i="3"/>
  <c r="S35" i="3"/>
  <c r="K250" i="3"/>
  <c r="K248" i="3"/>
  <c r="K246" i="3"/>
  <c r="K244" i="3"/>
  <c r="K242" i="3"/>
  <c r="K240" i="3"/>
  <c r="K238" i="3"/>
  <c r="K236" i="3"/>
  <c r="K234" i="3"/>
  <c r="K232" i="3"/>
  <c r="K230" i="3"/>
  <c r="K228" i="3"/>
  <c r="K226" i="3"/>
  <c r="K224" i="3"/>
  <c r="K222" i="3"/>
  <c r="K220" i="3"/>
  <c r="K218" i="3"/>
  <c r="K216" i="3"/>
  <c r="K214" i="3"/>
  <c r="K212" i="3"/>
  <c r="K210" i="3"/>
  <c r="K208" i="3"/>
  <c r="K206" i="3"/>
  <c r="K204" i="3"/>
  <c r="K202" i="3"/>
  <c r="K200" i="3"/>
  <c r="K198" i="3"/>
  <c r="K196" i="3"/>
  <c r="K194" i="3"/>
  <c r="K192" i="3"/>
  <c r="K190" i="3"/>
  <c r="K188" i="3"/>
  <c r="K186" i="3"/>
  <c r="K184" i="3"/>
  <c r="K182" i="3"/>
  <c r="K180" i="3"/>
  <c r="K178" i="3"/>
  <c r="K176" i="3"/>
  <c r="K174" i="3"/>
  <c r="K172" i="3"/>
  <c r="K170" i="3"/>
  <c r="K168" i="3"/>
  <c r="K166" i="3"/>
  <c r="K164" i="3"/>
  <c r="K162" i="3"/>
  <c r="K160" i="3"/>
  <c r="K158" i="3"/>
  <c r="K156" i="3"/>
  <c r="K154" i="3"/>
  <c r="K152" i="3"/>
  <c r="K150" i="3"/>
  <c r="K148" i="3"/>
  <c r="K146" i="3"/>
  <c r="K144" i="3"/>
  <c r="K142" i="3"/>
  <c r="K140" i="3"/>
  <c r="K138" i="3"/>
  <c r="K136" i="3"/>
  <c r="K134" i="3"/>
  <c r="K132" i="3"/>
  <c r="K130" i="3"/>
  <c r="K128" i="3"/>
  <c r="A16" i="4"/>
  <c r="A7" i="5" s="1"/>
  <c r="K135" i="3"/>
  <c r="K223" i="3"/>
  <c r="K217" i="3"/>
  <c r="K211" i="3"/>
  <c r="K143" i="3"/>
  <c r="K137" i="3"/>
  <c r="K117" i="3"/>
  <c r="K97" i="3"/>
  <c r="K75" i="3"/>
  <c r="K205" i="3"/>
  <c r="K126" i="3"/>
  <c r="K108" i="3"/>
  <c r="K199" i="3"/>
  <c r="K193" i="3"/>
  <c r="K187" i="3"/>
  <c r="K119" i="3"/>
  <c r="K99" i="3"/>
  <c r="K79" i="3"/>
  <c r="K58" i="3"/>
  <c r="K56" i="3"/>
  <c r="K54" i="3"/>
  <c r="K52" i="3"/>
  <c r="K50" i="3"/>
  <c r="K48" i="3"/>
  <c r="K46" i="3"/>
  <c r="K44" i="3"/>
  <c r="K181" i="3"/>
  <c r="K131" i="3"/>
  <c r="K110" i="3"/>
  <c r="K249" i="3"/>
  <c r="K243" i="3"/>
  <c r="K175" i="3"/>
  <c r="K169" i="3"/>
  <c r="K163" i="3"/>
  <c r="K121" i="3"/>
  <c r="K237" i="3"/>
  <c r="K157" i="3"/>
  <c r="K112" i="3"/>
  <c r="K231" i="3"/>
  <c r="K225" i="3"/>
  <c r="K219" i="3"/>
  <c r="K209" i="3"/>
  <c r="K167" i="3"/>
  <c r="K145" i="3"/>
  <c r="K93" i="3"/>
  <c r="K64" i="3"/>
  <c r="K141" i="3"/>
  <c r="K129" i="3"/>
  <c r="K125" i="3"/>
  <c r="K122" i="3"/>
  <c r="K98" i="3"/>
  <c r="K78" i="3"/>
  <c r="K71" i="3"/>
  <c r="K57" i="3"/>
  <c r="K31" i="3"/>
  <c r="K29" i="3"/>
  <c r="K27" i="3"/>
  <c r="K25" i="3"/>
  <c r="K23" i="3"/>
  <c r="K183" i="3"/>
  <c r="K179" i="3"/>
  <c r="K109" i="3"/>
  <c r="K90" i="3"/>
  <c r="K33" i="3"/>
  <c r="K85" i="3"/>
  <c r="K66" i="3"/>
  <c r="K59" i="3"/>
  <c r="K35" i="3"/>
  <c r="K235" i="3"/>
  <c r="K221" i="3"/>
  <c r="K195" i="3"/>
  <c r="K153" i="3"/>
  <c r="K103" i="3"/>
  <c r="K80" i="3"/>
  <c r="K73" i="3"/>
  <c r="K37" i="3"/>
  <c r="K239" i="3"/>
  <c r="K149" i="3"/>
  <c r="K118" i="3"/>
  <c r="K106" i="3"/>
  <c r="K95" i="3"/>
  <c r="K39" i="3"/>
  <c r="K191" i="3"/>
  <c r="K115" i="3"/>
  <c r="K92" i="3"/>
  <c r="K68" i="3"/>
  <c r="K61" i="3"/>
  <c r="K41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65" i="3"/>
  <c r="K100" i="3"/>
  <c r="K87" i="3"/>
  <c r="K43" i="3"/>
  <c r="K207" i="3"/>
  <c r="K203" i="3"/>
  <c r="K161" i="3"/>
  <c r="K139" i="3"/>
  <c r="K82" i="3"/>
  <c r="K114" i="3"/>
  <c r="K77" i="3"/>
  <c r="K70" i="3"/>
  <c r="K63" i="3"/>
  <c r="K45" i="3"/>
  <c r="K177" i="3"/>
  <c r="K127" i="3"/>
  <c r="K124" i="3"/>
  <c r="K111" i="3"/>
  <c r="K105" i="3"/>
  <c r="K233" i="3"/>
  <c r="K229" i="3"/>
  <c r="K173" i="3"/>
  <c r="K94" i="3"/>
  <c r="K89" i="3"/>
  <c r="K47" i="3"/>
  <c r="K32" i="3"/>
  <c r="K30" i="3"/>
  <c r="K28" i="3"/>
  <c r="K26" i="3"/>
  <c r="K24" i="3"/>
  <c r="K22" i="3"/>
  <c r="K247" i="3"/>
  <c r="K215" i="3"/>
  <c r="K151" i="3"/>
  <c r="K147" i="3"/>
  <c r="K123" i="3"/>
  <c r="K84" i="3"/>
  <c r="K72" i="3"/>
  <c r="K65" i="3"/>
  <c r="K34" i="3"/>
  <c r="K189" i="3"/>
  <c r="K120" i="3"/>
  <c r="K102" i="3"/>
  <c r="K49" i="3"/>
  <c r="K36" i="3"/>
  <c r="K185" i="3"/>
  <c r="K60" i="3"/>
  <c r="K38" i="3"/>
  <c r="K91" i="3"/>
  <c r="K81" i="3"/>
  <c r="K74" i="3"/>
  <c r="K67" i="3"/>
  <c r="K51" i="3"/>
  <c r="K40" i="3"/>
  <c r="K201" i="3"/>
  <c r="K159" i="3"/>
  <c r="K155" i="3"/>
  <c r="K107" i="3"/>
  <c r="K96" i="3"/>
  <c r="K86" i="3"/>
  <c r="K42" i="3"/>
  <c r="K227" i="3"/>
  <c r="K197" i="3"/>
  <c r="K116" i="3"/>
  <c r="K62" i="3"/>
  <c r="K53" i="3"/>
  <c r="K245" i="3"/>
  <c r="K241" i="3"/>
  <c r="K171" i="3"/>
  <c r="K113" i="3"/>
  <c r="K101" i="3"/>
  <c r="K76" i="3"/>
  <c r="K69" i="3"/>
  <c r="K213" i="3"/>
  <c r="K133" i="3"/>
  <c r="K104" i="3"/>
  <c r="K88" i="3"/>
  <c r="K83" i="3"/>
  <c r="K55" i="3"/>
  <c r="C250" i="3"/>
  <c r="C248" i="3"/>
  <c r="C246" i="3"/>
  <c r="C244" i="3"/>
  <c r="C242" i="3"/>
  <c r="C240" i="3"/>
  <c r="C238" i="3"/>
  <c r="C236" i="3"/>
  <c r="C234" i="3"/>
  <c r="C232" i="3"/>
  <c r="C230" i="3"/>
  <c r="C228" i="3"/>
  <c r="C226" i="3"/>
  <c r="C224" i="3"/>
  <c r="C222" i="3"/>
  <c r="C220" i="3"/>
  <c r="C218" i="3"/>
  <c r="C216" i="3"/>
  <c r="C214" i="3"/>
  <c r="C212" i="3"/>
  <c r="C210" i="3"/>
  <c r="C208" i="3"/>
  <c r="C206" i="3"/>
  <c r="C204" i="3"/>
  <c r="C202" i="3"/>
  <c r="C200" i="3"/>
  <c r="C198" i="3"/>
  <c r="C196" i="3"/>
  <c r="C194" i="3"/>
  <c r="C192" i="3"/>
  <c r="C190" i="3"/>
  <c r="C188" i="3"/>
  <c r="C186" i="3"/>
  <c r="C184" i="3"/>
  <c r="C182" i="3"/>
  <c r="C180" i="3"/>
  <c r="C178" i="3"/>
  <c r="C176" i="3"/>
  <c r="C174" i="3"/>
  <c r="C172" i="3"/>
  <c r="C170" i="3"/>
  <c r="C168" i="3"/>
  <c r="C166" i="3"/>
  <c r="C164" i="3"/>
  <c r="C162" i="3"/>
  <c r="C160" i="3"/>
  <c r="C158" i="3"/>
  <c r="C156" i="3"/>
  <c r="C154" i="3"/>
  <c r="C152" i="3"/>
  <c r="C150" i="3"/>
  <c r="C148" i="3"/>
  <c r="C146" i="3"/>
  <c r="C144" i="3"/>
  <c r="C142" i="3"/>
  <c r="C140" i="3"/>
  <c r="C138" i="3"/>
  <c r="C136" i="3"/>
  <c r="C134" i="3"/>
  <c r="C132" i="3"/>
  <c r="C130" i="3"/>
  <c r="C128" i="3"/>
  <c r="C133" i="3"/>
  <c r="C123" i="3"/>
  <c r="C121" i="3"/>
  <c r="C119" i="3"/>
  <c r="C117" i="3"/>
  <c r="C115" i="3"/>
  <c r="C113" i="3"/>
  <c r="C111" i="3"/>
  <c r="C109" i="3"/>
  <c r="C107" i="3"/>
  <c r="C105" i="3"/>
  <c r="C103" i="3"/>
  <c r="C101" i="3"/>
  <c r="C99" i="3"/>
  <c r="C97" i="3"/>
  <c r="C95" i="3"/>
  <c r="C93" i="3"/>
  <c r="C91" i="3"/>
  <c r="C89" i="3"/>
  <c r="C87" i="3"/>
  <c r="C85" i="3"/>
  <c r="C83" i="3"/>
  <c r="C81" i="3"/>
  <c r="C179" i="3"/>
  <c r="C67" i="3"/>
  <c r="C247" i="3"/>
  <c r="C241" i="3"/>
  <c r="C173" i="3"/>
  <c r="C167" i="3"/>
  <c r="C161" i="3"/>
  <c r="C129" i="3"/>
  <c r="C124" i="3"/>
  <c r="C104" i="3"/>
  <c r="C235" i="3"/>
  <c r="C155" i="3"/>
  <c r="C71" i="3"/>
  <c r="C229" i="3"/>
  <c r="C223" i="3"/>
  <c r="C217" i="3"/>
  <c r="C149" i="3"/>
  <c r="C143" i="3"/>
  <c r="C137" i="3"/>
  <c r="C106" i="3"/>
  <c r="C211" i="3"/>
  <c r="C126" i="3"/>
  <c r="C205" i="3"/>
  <c r="C199" i="3"/>
  <c r="C193" i="3"/>
  <c r="C96" i="3"/>
  <c r="C42" i="3"/>
  <c r="C249" i="3"/>
  <c r="C231" i="3"/>
  <c r="C227" i="3"/>
  <c r="C197" i="3"/>
  <c r="C175" i="3"/>
  <c r="C116" i="3"/>
  <c r="C69" i="3"/>
  <c r="C62" i="3"/>
  <c r="C53" i="3"/>
  <c r="C44" i="3"/>
  <c r="C245" i="3"/>
  <c r="C171" i="3"/>
  <c r="C88" i="3"/>
  <c r="C76" i="3"/>
  <c r="C213" i="3"/>
  <c r="C209" i="3"/>
  <c r="C145" i="3"/>
  <c r="C55" i="3"/>
  <c r="C46" i="3"/>
  <c r="C187" i="3"/>
  <c r="C125" i="3"/>
  <c r="C64" i="3"/>
  <c r="C183" i="3"/>
  <c r="C141" i="3"/>
  <c r="C122" i="3"/>
  <c r="C112" i="3"/>
  <c r="C98" i="3"/>
  <c r="C78" i="3"/>
  <c r="C57" i="3"/>
  <c r="C48" i="3"/>
  <c r="C31" i="3"/>
  <c r="C29" i="3"/>
  <c r="C27" i="3"/>
  <c r="C25" i="3"/>
  <c r="C23" i="3"/>
  <c r="C90" i="3"/>
  <c r="C73" i="3"/>
  <c r="C33" i="3"/>
  <c r="C225" i="3"/>
  <c r="C157" i="3"/>
  <c r="C153" i="3"/>
  <c r="C66" i="3"/>
  <c r="C59" i="3"/>
  <c r="C50" i="3"/>
  <c r="C35" i="3"/>
  <c r="C243" i="3"/>
  <c r="C239" i="3"/>
  <c r="C221" i="3"/>
  <c r="C195" i="3"/>
  <c r="C80" i="3"/>
  <c r="C37" i="3"/>
  <c r="C191" i="3"/>
  <c r="C169" i="3"/>
  <c r="C118" i="3"/>
  <c r="C75" i="3"/>
  <c r="C52" i="3"/>
  <c r="C39" i="3"/>
  <c r="C92" i="3"/>
  <c r="C68" i="3"/>
  <c r="C61" i="3"/>
  <c r="C41" i="3"/>
  <c r="C207" i="3"/>
  <c r="C165" i="3"/>
  <c r="C131" i="3"/>
  <c r="C108" i="3"/>
  <c r="C100" i="3"/>
  <c r="C54" i="3"/>
  <c r="C43" i="3"/>
  <c r="C203" i="3"/>
  <c r="C139" i="3"/>
  <c r="C82" i="3"/>
  <c r="C77" i="3"/>
  <c r="C181" i="3"/>
  <c r="C177" i="3"/>
  <c r="C127" i="3"/>
  <c r="C114" i="3"/>
  <c r="C70" i="3"/>
  <c r="C63" i="3"/>
  <c r="C56" i="3"/>
  <c r="C45" i="3"/>
  <c r="C233" i="3"/>
  <c r="C219" i="3"/>
  <c r="C135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37" i="3"/>
  <c r="C215" i="3"/>
  <c r="C151" i="3"/>
  <c r="C94" i="3"/>
  <c r="C84" i="3"/>
  <c r="C79" i="3"/>
  <c r="C58" i="3"/>
  <c r="C47" i="3"/>
  <c r="C32" i="3"/>
  <c r="C30" i="3"/>
  <c r="C28" i="3"/>
  <c r="C26" i="3"/>
  <c r="C24" i="3"/>
  <c r="C22" i="3"/>
  <c r="E1" i="4"/>
  <c r="A3" i="5" s="1"/>
  <c r="C147" i="3"/>
  <c r="C72" i="3"/>
  <c r="C65" i="3"/>
  <c r="C34" i="3"/>
  <c r="C189" i="3"/>
  <c r="C185" i="3"/>
  <c r="C120" i="3"/>
  <c r="C110" i="3"/>
  <c r="C102" i="3"/>
  <c r="C49" i="3"/>
  <c r="C36" i="3"/>
  <c r="C163" i="3"/>
  <c r="C86" i="3"/>
  <c r="C60" i="3"/>
  <c r="C38" i="3"/>
  <c r="C201" i="3"/>
  <c r="C159" i="3"/>
  <c r="C74" i="3"/>
  <c r="C51" i="3"/>
  <c r="C40" i="3"/>
  <c r="G250" i="3"/>
  <c r="G248" i="3"/>
  <c r="G246" i="3"/>
  <c r="G244" i="3"/>
  <c r="G242" i="3"/>
  <c r="G240" i="3"/>
  <c r="G238" i="3"/>
  <c r="G236" i="3"/>
  <c r="G234" i="3"/>
  <c r="G232" i="3"/>
  <c r="G230" i="3"/>
  <c r="G228" i="3"/>
  <c r="G226" i="3"/>
  <c r="G224" i="3"/>
  <c r="G222" i="3"/>
  <c r="G220" i="3"/>
  <c r="G218" i="3"/>
  <c r="G216" i="3"/>
  <c r="G214" i="3"/>
  <c r="G212" i="3"/>
  <c r="G210" i="3"/>
  <c r="G208" i="3"/>
  <c r="G206" i="3"/>
  <c r="G204" i="3"/>
  <c r="G202" i="3"/>
  <c r="G200" i="3"/>
  <c r="G198" i="3"/>
  <c r="G196" i="3"/>
  <c r="G194" i="3"/>
  <c r="G192" i="3"/>
  <c r="G190" i="3"/>
  <c r="G188" i="3"/>
  <c r="G186" i="3"/>
  <c r="G184" i="3"/>
  <c r="G182" i="3"/>
  <c r="G180" i="3"/>
  <c r="G178" i="3"/>
  <c r="G176" i="3"/>
  <c r="G174" i="3"/>
  <c r="G172" i="3"/>
  <c r="G170" i="3"/>
  <c r="G168" i="3"/>
  <c r="G166" i="3"/>
  <c r="G164" i="3"/>
  <c r="G162" i="3"/>
  <c r="G160" i="3"/>
  <c r="G158" i="3"/>
  <c r="G156" i="3"/>
  <c r="G154" i="3"/>
  <c r="G152" i="3"/>
  <c r="G150" i="3"/>
  <c r="G148" i="3"/>
  <c r="G146" i="3"/>
  <c r="G144" i="3"/>
  <c r="G142" i="3"/>
  <c r="G140" i="3"/>
  <c r="G138" i="3"/>
  <c r="G136" i="3"/>
  <c r="G134" i="3"/>
  <c r="G132" i="3"/>
  <c r="G130" i="3"/>
  <c r="G128" i="3"/>
  <c r="G249" i="3"/>
  <c r="G241" i="3"/>
  <c r="G233" i="3"/>
  <c r="G225" i="3"/>
  <c r="G217" i="3"/>
  <c r="G209" i="3"/>
  <c r="G201" i="3"/>
  <c r="G193" i="3"/>
  <c r="G185" i="3"/>
  <c r="G177" i="3"/>
  <c r="G169" i="3"/>
  <c r="G161" i="3"/>
  <c r="G153" i="3"/>
  <c r="G145" i="3"/>
  <c r="G137" i="3"/>
  <c r="G127" i="3"/>
  <c r="G235" i="3"/>
  <c r="G155" i="3"/>
  <c r="G124" i="3"/>
  <c r="G115" i="3"/>
  <c r="G95" i="3"/>
  <c r="G71" i="3"/>
  <c r="G229" i="3"/>
  <c r="G223" i="3"/>
  <c r="G149" i="3"/>
  <c r="G143" i="3"/>
  <c r="G106" i="3"/>
  <c r="G211" i="3"/>
  <c r="G117" i="3"/>
  <c r="G97" i="3"/>
  <c r="G75" i="3"/>
  <c r="G205" i="3"/>
  <c r="G199" i="3"/>
  <c r="G126" i="3"/>
  <c r="G108" i="3"/>
  <c r="G187" i="3"/>
  <c r="G119" i="3"/>
  <c r="G181" i="3"/>
  <c r="G175" i="3"/>
  <c r="G131" i="3"/>
  <c r="G110" i="3"/>
  <c r="G243" i="3"/>
  <c r="G245" i="3"/>
  <c r="G171" i="3"/>
  <c r="G113" i="3"/>
  <c r="G101" i="3"/>
  <c r="G88" i="3"/>
  <c r="G76" i="3"/>
  <c r="G69" i="3"/>
  <c r="G213" i="3"/>
  <c r="G167" i="3"/>
  <c r="G133" i="3"/>
  <c r="G104" i="3"/>
  <c r="G83" i="3"/>
  <c r="G55" i="3"/>
  <c r="G46" i="3"/>
  <c r="G93" i="3"/>
  <c r="G64" i="3"/>
  <c r="G183" i="3"/>
  <c r="G141" i="3"/>
  <c r="G129" i="3"/>
  <c r="G125" i="3"/>
  <c r="G122" i="3"/>
  <c r="G112" i="3"/>
  <c r="G98" i="3"/>
  <c r="G78" i="3"/>
  <c r="G57" i="3"/>
  <c r="G48" i="3"/>
  <c r="G31" i="3"/>
  <c r="G29" i="3"/>
  <c r="G27" i="3"/>
  <c r="G25" i="3"/>
  <c r="G23" i="3"/>
  <c r="G179" i="3"/>
  <c r="G109" i="3"/>
  <c r="G90" i="3"/>
  <c r="G33" i="3"/>
  <c r="G157" i="3"/>
  <c r="G85" i="3"/>
  <c r="G73" i="3"/>
  <c r="G66" i="3"/>
  <c r="G59" i="3"/>
  <c r="G50" i="3"/>
  <c r="G35" i="3"/>
  <c r="G239" i="3"/>
  <c r="G221" i="3"/>
  <c r="G195" i="3"/>
  <c r="G121" i="3"/>
  <c r="G103" i="3"/>
  <c r="G80" i="3"/>
  <c r="G37" i="3"/>
  <c r="G191" i="3"/>
  <c r="G118" i="3"/>
  <c r="G52" i="3"/>
  <c r="G39" i="3"/>
  <c r="G92" i="3"/>
  <c r="G68" i="3"/>
  <c r="G61" i="3"/>
  <c r="G41" i="3"/>
  <c r="G207" i="3"/>
  <c r="G165" i="3"/>
  <c r="G100" i="3"/>
  <c r="G87" i="3"/>
  <c r="G54" i="3"/>
  <c r="G43" i="3"/>
  <c r="G203" i="3"/>
  <c r="G139" i="3"/>
  <c r="G82" i="3"/>
  <c r="G77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114" i="3"/>
  <c r="G70" i="3"/>
  <c r="G63" i="3"/>
  <c r="G56" i="3"/>
  <c r="G45" i="3"/>
  <c r="G219" i="3"/>
  <c r="G135" i="3"/>
  <c r="G111" i="3"/>
  <c r="G105" i="3"/>
  <c r="G247" i="3"/>
  <c r="G237" i="3"/>
  <c r="G173" i="3"/>
  <c r="G151" i="3"/>
  <c r="G94" i="3"/>
  <c r="G89" i="3"/>
  <c r="G79" i="3"/>
  <c r="G58" i="3"/>
  <c r="G47" i="3"/>
  <c r="G32" i="3"/>
  <c r="G30" i="3"/>
  <c r="G28" i="3"/>
  <c r="G26" i="3"/>
  <c r="G24" i="3"/>
  <c r="G215" i="3"/>
  <c r="G22" i="3"/>
  <c r="M1" i="4"/>
  <c r="A5" i="5" s="1"/>
  <c r="G147" i="3"/>
  <c r="G123" i="3"/>
  <c r="G99" i="3"/>
  <c r="G84" i="3"/>
  <c r="G72" i="3"/>
  <c r="G65" i="3"/>
  <c r="G34" i="3"/>
  <c r="G189" i="3"/>
  <c r="G120" i="3"/>
  <c r="G102" i="3"/>
  <c r="G49" i="3"/>
  <c r="G36" i="3"/>
  <c r="G163" i="3"/>
  <c r="G60" i="3"/>
  <c r="G38" i="3"/>
  <c r="G159" i="3"/>
  <c r="G91" i="3"/>
  <c r="G86" i="3"/>
  <c r="G81" i="3"/>
  <c r="G74" i="3"/>
  <c r="G67" i="3"/>
  <c r="G51" i="3"/>
  <c r="G40" i="3"/>
  <c r="G107" i="3"/>
  <c r="G96" i="3"/>
  <c r="G42" i="3"/>
  <c r="G231" i="3"/>
  <c r="G227" i="3"/>
  <c r="G197" i="3"/>
  <c r="G116" i="3"/>
  <c r="G62" i="3"/>
  <c r="G53" i="3"/>
  <c r="G44" i="3"/>
  <c r="Q33" i="3"/>
  <c r="Q71" i="3"/>
  <c r="Q129" i="3"/>
  <c r="Q137" i="3"/>
  <c r="Q250" i="3"/>
  <c r="Q248" i="3"/>
  <c r="Q246" i="3"/>
  <c r="Q244" i="3"/>
  <c r="Q242" i="3"/>
  <c r="Q240" i="3"/>
  <c r="Q238" i="3"/>
  <c r="Q236" i="3"/>
  <c r="Q234" i="3"/>
  <c r="Q232" i="3"/>
  <c r="Q230" i="3"/>
  <c r="Q228" i="3"/>
  <c r="Q226" i="3"/>
  <c r="Q224" i="3"/>
  <c r="Q222" i="3"/>
  <c r="Q220" i="3"/>
  <c r="Q218" i="3"/>
  <c r="Q216" i="3"/>
  <c r="Q214" i="3"/>
  <c r="Q212" i="3"/>
  <c r="Q210" i="3"/>
  <c r="Q208" i="3"/>
  <c r="Q206" i="3"/>
  <c r="Q204" i="3"/>
  <c r="Q202" i="3"/>
  <c r="Q200" i="3"/>
  <c r="Q198" i="3"/>
  <c r="Q196" i="3"/>
  <c r="Q194" i="3"/>
  <c r="Q192" i="3"/>
  <c r="Q190" i="3"/>
  <c r="Q188" i="3"/>
  <c r="Q186" i="3"/>
  <c r="Q184" i="3"/>
  <c r="Q182" i="3"/>
  <c r="Q180" i="3"/>
  <c r="Q178" i="3"/>
  <c r="Q176" i="3"/>
  <c r="Q174" i="3"/>
  <c r="Q172" i="3"/>
  <c r="Q170" i="3"/>
  <c r="Q168" i="3"/>
  <c r="Q166" i="3"/>
  <c r="Q164" i="3"/>
  <c r="Q162" i="3"/>
  <c r="Q160" i="3"/>
  <c r="Q158" i="3"/>
  <c r="Q156" i="3"/>
  <c r="Q154" i="3"/>
  <c r="Q152" i="3"/>
  <c r="Q150" i="3"/>
  <c r="Q148" i="3"/>
  <c r="Q146" i="3"/>
  <c r="Q144" i="3"/>
  <c r="Q142" i="3"/>
  <c r="Q140" i="3"/>
  <c r="Q138" i="3"/>
  <c r="M16" i="4"/>
  <c r="A10" i="5" s="1"/>
  <c r="Q125" i="3"/>
  <c r="Q243" i="3"/>
  <c r="Q235" i="3"/>
  <c r="Q227" i="3"/>
  <c r="Q219" i="3"/>
  <c r="Q211" i="3"/>
  <c r="Q203" i="3"/>
  <c r="Q195" i="3"/>
  <c r="Q187" i="3"/>
  <c r="Q179" i="3"/>
  <c r="Q171" i="3"/>
  <c r="Q163" i="3"/>
  <c r="Q155" i="3"/>
  <c r="Q147" i="3"/>
  <c r="Q139" i="3"/>
  <c r="Q181" i="3"/>
  <c r="Q134" i="3"/>
  <c r="Q131" i="3"/>
  <c r="Q119" i="3"/>
  <c r="Q110" i="3"/>
  <c r="Q99" i="3"/>
  <c r="Q90" i="3"/>
  <c r="Q79" i="3"/>
  <c r="Q60" i="3"/>
  <c r="Q249" i="3"/>
  <c r="Q175" i="3"/>
  <c r="Q169" i="3"/>
  <c r="Q237" i="3"/>
  <c r="Q157" i="3"/>
  <c r="Q121" i="3"/>
  <c r="Q112" i="3"/>
  <c r="Q101" i="3"/>
  <c r="Q92" i="3"/>
  <c r="Q81" i="3"/>
  <c r="Q64" i="3"/>
  <c r="Q231" i="3"/>
  <c r="Q225" i="3"/>
  <c r="Q151" i="3"/>
  <c r="Q145" i="3"/>
  <c r="Q213" i="3"/>
  <c r="Q128" i="3"/>
  <c r="Q123" i="3"/>
  <c r="Q114" i="3"/>
  <c r="Q207" i="3"/>
  <c r="Q201" i="3"/>
  <c r="Q23" i="3"/>
  <c r="Q25" i="3"/>
  <c r="Q27" i="3"/>
  <c r="Q29" i="3"/>
  <c r="Q31" i="3"/>
  <c r="Q46" i="3"/>
  <c r="Q57" i="3"/>
  <c r="Q78" i="3"/>
  <c r="Q93" i="3"/>
  <c r="Q98" i="3"/>
  <c r="Q122" i="3"/>
  <c r="Q141" i="3"/>
  <c r="Q205" i="3"/>
  <c r="Q83" i="3"/>
  <c r="Q88" i="3"/>
  <c r="Q167" i="3"/>
  <c r="Q209" i="3"/>
  <c r="Q44" i="3"/>
  <c r="Q55" i="3"/>
  <c r="Q69" i="3"/>
  <c r="Q104" i="3"/>
  <c r="Q113" i="3"/>
  <c r="Q126" i="3"/>
  <c r="Q133" i="3"/>
  <c r="Q62" i="3"/>
  <c r="Q76" i="3"/>
  <c r="Q193" i="3"/>
  <c r="A219" i="3"/>
  <c r="Q223" i="3"/>
  <c r="A233" i="3"/>
  <c r="Q241" i="3"/>
  <c r="Q245" i="3"/>
  <c r="Q42" i="3"/>
  <c r="Q53" i="3"/>
  <c r="Q107" i="3"/>
  <c r="Q116" i="3"/>
  <c r="Q130" i="3"/>
  <c r="Q197" i="3"/>
  <c r="A242" i="3"/>
  <c r="Q67" i="3"/>
  <c r="Q40" i="3"/>
  <c r="Q86" i="3"/>
  <c r="Q91" i="3"/>
  <c r="Q96" i="3"/>
  <c r="Q159" i="3"/>
  <c r="Q38" i="3"/>
  <c r="Q51" i="3"/>
  <c r="Q74" i="3"/>
  <c r="Q117" i="3"/>
  <c r="Q36" i="3"/>
  <c r="Q143" i="3"/>
  <c r="Q185" i="3"/>
  <c r="Q34" i="3"/>
  <c r="Q49" i="3"/>
  <c r="Q58" i="3"/>
  <c r="Q65" i="3"/>
  <c r="Q102" i="3"/>
  <c r="Q120" i="3"/>
  <c r="Q189" i="3"/>
  <c r="Q32" i="3"/>
  <c r="Q72" i="3"/>
  <c r="A80" i="3"/>
  <c r="Q84" i="3"/>
  <c r="Q89" i="3"/>
  <c r="A144" i="3"/>
  <c r="A195" i="3"/>
  <c r="Q215" i="3"/>
  <c r="A221" i="3"/>
  <c r="A239" i="3"/>
  <c r="A243" i="3"/>
  <c r="Q247" i="3"/>
  <c r="Q22" i="3"/>
  <c r="Q24" i="3"/>
  <c r="Q26" i="3"/>
  <c r="Q28" i="3"/>
  <c r="Q30" i="3"/>
  <c r="Q47" i="3"/>
  <c r="A50" i="3"/>
  <c r="Q56" i="3"/>
  <c r="A59" i="3"/>
  <c r="A66" i="3"/>
  <c r="Q77" i="3"/>
  <c r="Q94" i="3"/>
  <c r="Q97" i="3"/>
  <c r="A103" i="3"/>
  <c r="Q105" i="3"/>
  <c r="Q108" i="3"/>
  <c r="Q111" i="3"/>
  <c r="A121" i="3"/>
  <c r="A132" i="3"/>
  <c r="Q135" i="3"/>
  <c r="A148" i="3"/>
  <c r="A153" i="3"/>
  <c r="A157" i="3"/>
  <c r="E169" i="3"/>
  <c r="Q173" i="3"/>
  <c r="E191" i="3"/>
  <c r="A199" i="3"/>
  <c r="A212" i="3"/>
  <c r="A225" i="3"/>
  <c r="Q229" i="3"/>
  <c r="Q233" i="3"/>
  <c r="A33" i="3"/>
  <c r="Q63" i="3"/>
  <c r="A73" i="3"/>
  <c r="A85" i="3"/>
  <c r="A90" i="3"/>
  <c r="E95" i="3"/>
  <c r="E103" i="3"/>
  <c r="I115" i="3"/>
  <c r="E121" i="3"/>
  <c r="Q124" i="3"/>
  <c r="Q127" i="3"/>
  <c r="M132" i="3"/>
  <c r="M144" i="3"/>
  <c r="I148" i="3"/>
  <c r="M161" i="3"/>
  <c r="I170" i="3"/>
  <c r="Q177" i="3"/>
  <c r="E195" i="3"/>
  <c r="Q199" i="3"/>
  <c r="M203" i="3"/>
  <c r="M207" i="3"/>
  <c r="I212" i="3"/>
  <c r="A216" i="3"/>
  <c r="E221" i="3"/>
  <c r="A234" i="3"/>
  <c r="E239" i="3"/>
  <c r="E243" i="3"/>
  <c r="A250" i="3"/>
  <c r="A244" i="3"/>
  <c r="A238" i="3"/>
  <c r="A197" i="3"/>
  <c r="A191" i="3"/>
  <c r="A185" i="3"/>
  <c r="A170" i="3"/>
  <c r="A164" i="3"/>
  <c r="A158" i="3"/>
  <c r="A122" i="3"/>
  <c r="A113" i="3"/>
  <c r="A102" i="3"/>
  <c r="A93" i="3"/>
  <c r="A82" i="3"/>
  <c r="A65" i="3"/>
  <c r="A232" i="3"/>
  <c r="A179" i="3"/>
  <c r="A152" i="3"/>
  <c r="A247" i="3"/>
  <c r="A241" i="3"/>
  <c r="A226" i="3"/>
  <c r="A220" i="3"/>
  <c r="A214" i="3"/>
  <c r="A173" i="3"/>
  <c r="A167" i="3"/>
  <c r="A161" i="3"/>
  <c r="A146" i="3"/>
  <c r="A140" i="3"/>
  <c r="A129" i="3"/>
  <c r="A124" i="3"/>
  <c r="A115" i="3"/>
  <c r="A104" i="3"/>
  <c r="A95" i="3"/>
  <c r="A84" i="3"/>
  <c r="A69" i="3"/>
  <c r="A235" i="3"/>
  <c r="A208" i="3"/>
  <c r="A155" i="3"/>
  <c r="A229" i="3"/>
  <c r="A223" i="3"/>
  <c r="A217" i="3"/>
  <c r="A202" i="3"/>
  <c r="A196" i="3"/>
  <c r="A190" i="3"/>
  <c r="A149" i="3"/>
  <c r="A143" i="3"/>
  <c r="A137" i="3"/>
  <c r="A134" i="3"/>
  <c r="A117" i="3"/>
  <c r="A211" i="3"/>
  <c r="A184" i="3"/>
  <c r="A126" i="3"/>
  <c r="A246" i="3"/>
  <c r="A23" i="3"/>
  <c r="A25" i="3"/>
  <c r="A27" i="3"/>
  <c r="A29" i="3"/>
  <c r="A31" i="3"/>
  <c r="Q45" i="3"/>
  <c r="A48" i="3"/>
  <c r="Q54" i="3"/>
  <c r="A57" i="3"/>
  <c r="E59" i="3"/>
  <c r="E66" i="3"/>
  <c r="Q70" i="3"/>
  <c r="M75" i="3"/>
  <c r="A78" i="3"/>
  <c r="E85" i="3"/>
  <c r="M87" i="3"/>
  <c r="I95" i="3"/>
  <c r="A98" i="3"/>
  <c r="M100" i="3"/>
  <c r="A106" i="3"/>
  <c r="A109" i="3"/>
  <c r="A112" i="3"/>
  <c r="I118" i="3"/>
  <c r="A128" i="3"/>
  <c r="A136" i="3"/>
  <c r="A141" i="3"/>
  <c r="M148" i="3"/>
  <c r="E153" i="3"/>
  <c r="E157" i="3"/>
  <c r="M165" i="3"/>
  <c r="M170" i="3"/>
  <c r="A174" i="3"/>
  <c r="A178" i="3"/>
  <c r="A183" i="3"/>
  <c r="M212" i="3"/>
  <c r="I216" i="3"/>
  <c r="E225" i="3"/>
  <c r="A230" i="3"/>
  <c r="I234" i="3"/>
  <c r="I244" i="3"/>
  <c r="I248" i="3"/>
  <c r="E33" i="3"/>
  <c r="I37" i="3"/>
  <c r="M41" i="3"/>
  <c r="M52" i="3"/>
  <c r="M61" i="3"/>
  <c r="A64" i="3"/>
  <c r="M68" i="3"/>
  <c r="Q75" i="3"/>
  <c r="I80" i="3"/>
  <c r="Q82" i="3"/>
  <c r="Q87" i="3"/>
  <c r="E90" i="3"/>
  <c r="M92" i="3"/>
  <c r="I103" i="3"/>
  <c r="E109" i="3"/>
  <c r="M115" i="3"/>
  <c r="A125" i="3"/>
  <c r="I128" i="3"/>
  <c r="Q132" i="3"/>
  <c r="I136" i="3"/>
  <c r="I153" i="3"/>
  <c r="Q161" i="3"/>
  <c r="I174" i="3"/>
  <c r="A187" i="3"/>
  <c r="M191" i="3"/>
  <c r="I195" i="3"/>
  <c r="A200" i="3"/>
  <c r="M216" i="3"/>
  <c r="I221" i="3"/>
  <c r="I225" i="3"/>
  <c r="I230" i="3"/>
  <c r="I235" i="3"/>
  <c r="M244" i="3"/>
  <c r="M248" i="3"/>
  <c r="E250" i="3"/>
  <c r="E248" i="3"/>
  <c r="E246" i="3"/>
  <c r="E244" i="3"/>
  <c r="E242" i="3"/>
  <c r="E240" i="3"/>
  <c r="E238" i="3"/>
  <c r="E236" i="3"/>
  <c r="E234" i="3"/>
  <c r="E232" i="3"/>
  <c r="E230" i="3"/>
  <c r="E228" i="3"/>
  <c r="E226" i="3"/>
  <c r="E224" i="3"/>
  <c r="E222" i="3"/>
  <c r="E220" i="3"/>
  <c r="E218" i="3"/>
  <c r="E216" i="3"/>
  <c r="E214" i="3"/>
  <c r="E212" i="3"/>
  <c r="E210" i="3"/>
  <c r="E208" i="3"/>
  <c r="E206" i="3"/>
  <c r="E204" i="3"/>
  <c r="E202" i="3"/>
  <c r="E200" i="3"/>
  <c r="E198" i="3"/>
  <c r="E196" i="3"/>
  <c r="E194" i="3"/>
  <c r="E192" i="3"/>
  <c r="E190" i="3"/>
  <c r="E188" i="3"/>
  <c r="E186" i="3"/>
  <c r="E184" i="3"/>
  <c r="E182" i="3"/>
  <c r="E180" i="3"/>
  <c r="E178" i="3"/>
  <c r="E176" i="3"/>
  <c r="E174" i="3"/>
  <c r="E172" i="3"/>
  <c r="E170" i="3"/>
  <c r="E168" i="3"/>
  <c r="E166" i="3"/>
  <c r="E164" i="3"/>
  <c r="E162" i="3"/>
  <c r="E160" i="3"/>
  <c r="E158" i="3"/>
  <c r="E156" i="3"/>
  <c r="E154" i="3"/>
  <c r="E152" i="3"/>
  <c r="E150" i="3"/>
  <c r="E148" i="3"/>
  <c r="E146" i="3"/>
  <c r="E144" i="3"/>
  <c r="E142" i="3"/>
  <c r="E140" i="3"/>
  <c r="E138" i="3"/>
  <c r="E136" i="3"/>
  <c r="E134" i="3"/>
  <c r="E132" i="3"/>
  <c r="E130" i="3"/>
  <c r="E128" i="3"/>
  <c r="E126" i="3"/>
  <c r="E124" i="3"/>
  <c r="E125" i="3"/>
  <c r="E247" i="3"/>
  <c r="E241" i="3"/>
  <c r="E173" i="3"/>
  <c r="E167" i="3"/>
  <c r="E161" i="3"/>
  <c r="E129" i="3"/>
  <c r="E104" i="3"/>
  <c r="E84" i="3"/>
  <c r="E69" i="3"/>
  <c r="E235" i="3"/>
  <c r="E155" i="3"/>
  <c r="E115" i="3"/>
  <c r="E229" i="3"/>
  <c r="E223" i="3"/>
  <c r="E217" i="3"/>
  <c r="E149" i="3"/>
  <c r="E143" i="3"/>
  <c r="E137" i="3"/>
  <c r="E106" i="3"/>
  <c r="E86" i="3"/>
  <c r="E73" i="3"/>
  <c r="E211" i="3"/>
  <c r="E117" i="3"/>
  <c r="E97" i="3"/>
  <c r="E205" i="3"/>
  <c r="E199" i="3"/>
  <c r="E193" i="3"/>
  <c r="E187" i="3"/>
  <c r="E119" i="3"/>
  <c r="E249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E23" i="3"/>
  <c r="E25" i="3"/>
  <c r="E27" i="3"/>
  <c r="E29" i="3"/>
  <c r="E31" i="3"/>
  <c r="I35" i="3"/>
  <c r="M39" i="3"/>
  <c r="Q43" i="3"/>
  <c r="A46" i="3"/>
  <c r="E48" i="3"/>
  <c r="I50" i="3"/>
  <c r="Q52" i="3"/>
  <c r="A55" i="3"/>
  <c r="E57" i="3"/>
  <c r="I59" i="3"/>
  <c r="Q61" i="3"/>
  <c r="I66" i="3"/>
  <c r="A71" i="3"/>
  <c r="E78" i="3"/>
  <c r="I85" i="3"/>
  <c r="M95" i="3"/>
  <c r="E98" i="3"/>
  <c r="Q100" i="3"/>
  <c r="M106" i="3"/>
  <c r="E112" i="3"/>
  <c r="Q115" i="3"/>
  <c r="M118" i="3"/>
  <c r="E122" i="3"/>
  <c r="M128" i="3"/>
  <c r="M136" i="3"/>
  <c r="E141" i="3"/>
  <c r="A145" i="3"/>
  <c r="M149" i="3"/>
  <c r="I157" i="3"/>
  <c r="A162" i="3"/>
  <c r="Q165" i="3"/>
  <c r="M174" i="3"/>
  <c r="E183" i="3"/>
  <c r="I200" i="3"/>
  <c r="A204" i="3"/>
  <c r="A209" i="3"/>
  <c r="A213" i="3"/>
  <c r="M230" i="3"/>
  <c r="M239" i="3"/>
  <c r="I33" i="3"/>
  <c r="M37" i="3"/>
  <c r="Q41" i="3"/>
  <c r="M50" i="3"/>
  <c r="E64" i="3"/>
  <c r="Q68" i="3"/>
  <c r="E71" i="3"/>
  <c r="M73" i="3"/>
  <c r="A76" i="3"/>
  <c r="M80" i="3"/>
  <c r="A83" i="3"/>
  <c r="A88" i="3"/>
  <c r="I90" i="3"/>
  <c r="E93" i="3"/>
  <c r="Q95" i="3"/>
  <c r="M103" i="3"/>
  <c r="I109" i="3"/>
  <c r="A133" i="3"/>
  <c r="M153" i="3"/>
  <c r="I158" i="3"/>
  <c r="I162" i="3"/>
  <c r="A171" i="3"/>
  <c r="I179" i="3"/>
  <c r="Q191" i="3"/>
  <c r="M195" i="3"/>
  <c r="M200" i="3"/>
  <c r="M217" i="3"/>
  <c r="M221" i="3"/>
  <c r="M235" i="3"/>
  <c r="A245" i="3"/>
  <c r="I247" i="3"/>
  <c r="I239" i="3"/>
  <c r="I231" i="3"/>
  <c r="I223" i="3"/>
  <c r="I215" i="3"/>
  <c r="I207" i="3"/>
  <c r="I199" i="3"/>
  <c r="I191" i="3"/>
  <c r="I183" i="3"/>
  <c r="I175" i="3"/>
  <c r="I167" i="3"/>
  <c r="I159" i="3"/>
  <c r="I151" i="3"/>
  <c r="I143" i="3"/>
  <c r="I132" i="3"/>
  <c r="I250" i="3"/>
  <c r="I232" i="3"/>
  <c r="I229" i="3"/>
  <c r="I152" i="3"/>
  <c r="I149" i="3"/>
  <c r="I106" i="3"/>
  <c r="I86" i="3"/>
  <c r="I73" i="3"/>
  <c r="I226" i="3"/>
  <c r="I220" i="3"/>
  <c r="I217" i="3"/>
  <c r="I214" i="3"/>
  <c r="I211" i="3"/>
  <c r="I146" i="3"/>
  <c r="I140" i="3"/>
  <c r="I137" i="3"/>
  <c r="I117" i="3"/>
  <c r="I208" i="3"/>
  <c r="I205" i="3"/>
  <c r="I126" i="3"/>
  <c r="I108" i="3"/>
  <c r="I88" i="3"/>
  <c r="I77" i="3"/>
  <c r="I202" i="3"/>
  <c r="I196" i="3"/>
  <c r="I193" i="3"/>
  <c r="I190" i="3"/>
  <c r="I187" i="3"/>
  <c r="I134" i="3"/>
  <c r="I119" i="3"/>
  <c r="I99" i="3"/>
  <c r="I184" i="3"/>
  <c r="I181" i="3"/>
  <c r="I131" i="3"/>
  <c r="I110" i="3"/>
  <c r="I249" i="3"/>
  <c r="I246" i="3"/>
  <c r="I243" i="3"/>
  <c r="I178" i="3"/>
  <c r="I172" i="3"/>
  <c r="I169" i="3"/>
  <c r="I166" i="3"/>
  <c r="I163" i="3"/>
  <c r="I121" i="3"/>
  <c r="I240" i="3"/>
  <c r="I237" i="3"/>
  <c r="I23" i="3"/>
  <c r="I25" i="3"/>
  <c r="I27" i="3"/>
  <c r="I29" i="3"/>
  <c r="I31" i="3"/>
  <c r="M35" i="3"/>
  <c r="Q39" i="3"/>
  <c r="A44" i="3"/>
  <c r="E46" i="3"/>
  <c r="I48" i="3"/>
  <c r="Q50" i="3"/>
  <c r="A53" i="3"/>
  <c r="E55" i="3"/>
  <c r="I57" i="3"/>
  <c r="M59" i="3"/>
  <c r="A62" i="3"/>
  <c r="M66" i="3"/>
  <c r="I71" i="3"/>
  <c r="Q73" i="3"/>
  <c r="I78" i="3"/>
  <c r="E83" i="3"/>
  <c r="M85" i="3"/>
  <c r="I98" i="3"/>
  <c r="A101" i="3"/>
  <c r="Q103" i="3"/>
  <c r="Q106" i="3"/>
  <c r="I112" i="3"/>
  <c r="A116" i="3"/>
  <c r="Q118" i="3"/>
  <c r="I122" i="3"/>
  <c r="I125" i="3"/>
  <c r="I129" i="3"/>
  <c r="E133" i="3"/>
  <c r="Q136" i="3"/>
  <c r="I141" i="3"/>
  <c r="E145" i="3"/>
  <c r="Q149" i="3"/>
  <c r="M158" i="3"/>
  <c r="M162" i="3"/>
  <c r="A166" i="3"/>
  <c r="A175" i="3"/>
  <c r="A188" i="3"/>
  <c r="M204" i="3"/>
  <c r="E209" i="3"/>
  <c r="E213" i="3"/>
  <c r="A227" i="3"/>
  <c r="A231" i="3"/>
  <c r="Q239" i="3"/>
  <c r="A249" i="3"/>
  <c r="M33" i="3"/>
  <c r="Q37" i="3"/>
  <c r="A42" i="3"/>
  <c r="M48" i="3"/>
  <c r="Q59" i="3"/>
  <c r="I64" i="3"/>
  <c r="E76" i="3"/>
  <c r="Q80" i="3"/>
  <c r="Q85" i="3"/>
  <c r="E88" i="3"/>
  <c r="I93" i="3"/>
  <c r="A96" i="3"/>
  <c r="E101" i="3"/>
  <c r="M109" i="3"/>
  <c r="E113" i="3"/>
  <c r="M137" i="3"/>
  <c r="I145" i="3"/>
  <c r="Q153" i="3"/>
  <c r="E171" i="3"/>
  <c r="M179" i="3"/>
  <c r="I188" i="3"/>
  <c r="A192" i="3"/>
  <c r="I209" i="3"/>
  <c r="Q217" i="3"/>
  <c r="Q221" i="3"/>
  <c r="E245" i="3"/>
  <c r="E16" i="4"/>
  <c r="A8" i="5" s="1"/>
  <c r="M226" i="3"/>
  <c r="M220" i="3"/>
  <c r="M214" i="3"/>
  <c r="M205" i="3"/>
  <c r="M146" i="3"/>
  <c r="M140" i="3"/>
  <c r="M126" i="3"/>
  <c r="M108" i="3"/>
  <c r="M88" i="3"/>
  <c r="M77" i="3"/>
  <c r="M208" i="3"/>
  <c r="M199" i="3"/>
  <c r="M193" i="3"/>
  <c r="M187" i="3"/>
  <c r="M119" i="3"/>
  <c r="M99" i="3"/>
  <c r="M202" i="3"/>
  <c r="M196" i="3"/>
  <c r="M190" i="3"/>
  <c r="M181" i="3"/>
  <c r="M134" i="3"/>
  <c r="M131" i="3"/>
  <c r="M110" i="3"/>
  <c r="M90" i="3"/>
  <c r="M60" i="3"/>
  <c r="M249" i="3"/>
  <c r="M243" i="3"/>
  <c r="M184" i="3"/>
  <c r="M175" i="3"/>
  <c r="M169" i="3"/>
  <c r="M163" i="3"/>
  <c r="M121" i="3"/>
  <c r="M101" i="3"/>
  <c r="M246" i="3"/>
  <c r="M237" i="3"/>
  <c r="M178" i="3"/>
  <c r="M172" i="3"/>
  <c r="M166" i="3"/>
  <c r="M157" i="3"/>
  <c r="M112" i="3"/>
  <c r="M240" i="3"/>
  <c r="M231" i="3"/>
  <c r="M225" i="3"/>
  <c r="M219" i="3"/>
  <c r="M160" i="3"/>
  <c r="M151" i="3"/>
  <c r="M145" i="3"/>
  <c r="M139" i="3"/>
  <c r="M123" i="3"/>
  <c r="M234" i="3"/>
  <c r="M228" i="3"/>
  <c r="M222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M23" i="3"/>
  <c r="M25" i="3"/>
  <c r="M27" i="3"/>
  <c r="M29" i="3"/>
  <c r="M31" i="3"/>
  <c r="Q35" i="3"/>
  <c r="A40" i="3"/>
  <c r="E44" i="3"/>
  <c r="I46" i="3"/>
  <c r="Q48" i="3"/>
  <c r="A51" i="3"/>
  <c r="E53" i="3"/>
  <c r="I55" i="3"/>
  <c r="M57" i="3"/>
  <c r="E62" i="3"/>
  <c r="Q66" i="3"/>
  <c r="M71" i="3"/>
  <c r="A74" i="3"/>
  <c r="M78" i="3"/>
  <c r="I83" i="3"/>
  <c r="M98" i="3"/>
  <c r="I104" i="3"/>
  <c r="A107" i="3"/>
  <c r="Q109" i="3"/>
  <c r="E116" i="3"/>
  <c r="A119" i="3"/>
  <c r="M122" i="3"/>
  <c r="M125" i="3"/>
  <c r="M129" i="3"/>
  <c r="I133" i="3"/>
  <c r="M141" i="3"/>
  <c r="A150" i="3"/>
  <c r="A154" i="3"/>
  <c r="A159" i="3"/>
  <c r="E175" i="3"/>
  <c r="M188" i="3"/>
  <c r="I192" i="3"/>
  <c r="E197" i="3"/>
  <c r="A201" i="3"/>
  <c r="A205" i="3"/>
  <c r="I213" i="3"/>
  <c r="A218" i="3"/>
  <c r="E227" i="3"/>
  <c r="E231" i="3"/>
  <c r="A236" i="3"/>
  <c r="A240" i="3"/>
  <c r="M250" i="3"/>
  <c r="N20" i="3" l="1"/>
  <c r="N21" i="3"/>
  <c r="N19" i="3"/>
  <c r="N14" i="3"/>
  <c r="N8" i="3"/>
  <c r="N10" i="3"/>
  <c r="N18" i="3"/>
  <c r="N5" i="3"/>
  <c r="N2" i="3"/>
  <c r="N16" i="3"/>
  <c r="N12" i="3"/>
  <c r="N3" i="3"/>
  <c r="N9" i="3"/>
  <c r="N6" i="3"/>
  <c r="N15" i="3"/>
  <c r="N13" i="3"/>
  <c r="N11" i="3"/>
  <c r="E27" i="4" s="1"/>
  <c r="G27" i="4" s="1"/>
  <c r="N4" i="3"/>
  <c r="N17" i="3"/>
  <c r="N7" i="3"/>
  <c r="F20" i="3"/>
  <c r="F15" i="3"/>
  <c r="F21" i="3"/>
  <c r="F19" i="3"/>
  <c r="F18" i="3"/>
  <c r="F17" i="3"/>
  <c r="F16" i="3"/>
  <c r="F14" i="3"/>
  <c r="F13" i="3"/>
  <c r="F9" i="3"/>
  <c r="F4" i="3"/>
  <c r="F12" i="3"/>
  <c r="F10" i="3"/>
  <c r="F6" i="3"/>
  <c r="F7" i="3"/>
  <c r="F2" i="3"/>
  <c r="F8" i="3"/>
  <c r="F5" i="3"/>
  <c r="F3" i="3"/>
  <c r="F11" i="3"/>
  <c r="I12" i="4" s="1"/>
  <c r="T20" i="3"/>
  <c r="T21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2" i="3"/>
  <c r="T3" i="3"/>
  <c r="L20" i="3"/>
  <c r="L21" i="3"/>
  <c r="L17" i="3"/>
  <c r="L10" i="3"/>
  <c r="L6" i="3"/>
  <c r="L7" i="3"/>
  <c r="L11" i="3"/>
  <c r="A27" i="4" s="1"/>
  <c r="C27" i="4" s="1"/>
  <c r="L9" i="3"/>
  <c r="L14" i="3"/>
  <c r="L8" i="3"/>
  <c r="L3" i="3"/>
  <c r="L19" i="3"/>
  <c r="L13" i="3"/>
  <c r="L12" i="3"/>
  <c r="L5" i="3"/>
  <c r="L2" i="3"/>
  <c r="L16" i="3"/>
  <c r="L18" i="3"/>
  <c r="L15" i="3"/>
  <c r="L4" i="3"/>
  <c r="R20" i="3"/>
  <c r="R18" i="3"/>
  <c r="R21" i="3"/>
  <c r="R19" i="3"/>
  <c r="R6" i="3"/>
  <c r="R7" i="3"/>
  <c r="R5" i="3"/>
  <c r="R2" i="3"/>
  <c r="R13" i="3"/>
  <c r="R12" i="3"/>
  <c r="R8" i="3"/>
  <c r="R4" i="3"/>
  <c r="R14" i="3"/>
  <c r="R10" i="3"/>
  <c r="R17" i="3"/>
  <c r="R3" i="3"/>
  <c r="R11" i="3"/>
  <c r="M27" i="4" s="1"/>
  <c r="O27" i="4" s="1"/>
  <c r="R16" i="3"/>
  <c r="R15" i="3"/>
  <c r="R9" i="3"/>
  <c r="J20" i="3"/>
  <c r="J19" i="3"/>
  <c r="J21" i="3"/>
  <c r="J17" i="3"/>
  <c r="J2" i="3"/>
  <c r="J7" i="3"/>
  <c r="J14" i="3"/>
  <c r="J8" i="3"/>
  <c r="J13" i="3"/>
  <c r="J12" i="3"/>
  <c r="J6" i="3"/>
  <c r="J5" i="3"/>
  <c r="J10" i="3"/>
  <c r="J16" i="3"/>
  <c r="J3" i="3"/>
  <c r="J11" i="3"/>
  <c r="Q12" i="4" s="1"/>
  <c r="J4" i="3"/>
  <c r="J18" i="3"/>
  <c r="J15" i="3"/>
  <c r="J9" i="3"/>
  <c r="D21" i="3"/>
  <c r="D19" i="3"/>
  <c r="D18" i="3"/>
  <c r="D17" i="3"/>
  <c r="D16" i="3"/>
  <c r="D15" i="3"/>
  <c r="D14" i="3"/>
  <c r="D13" i="3"/>
  <c r="D20" i="3"/>
  <c r="D12" i="3"/>
  <c r="D11" i="3"/>
  <c r="E12" i="4" s="1"/>
  <c r="D2" i="3"/>
  <c r="D9" i="3"/>
  <c r="D4" i="3"/>
  <c r="D6" i="3"/>
  <c r="D5" i="3"/>
  <c r="D10" i="3"/>
  <c r="D7" i="3"/>
  <c r="D8" i="3"/>
  <c r="D3" i="3"/>
  <c r="B20" i="3"/>
  <c r="B21" i="3"/>
  <c r="B13" i="3"/>
  <c r="B2" i="3"/>
  <c r="B19" i="3"/>
  <c r="B15" i="3"/>
  <c r="B11" i="3"/>
  <c r="A12" i="4" s="1"/>
  <c r="B7" i="3"/>
  <c r="B12" i="3"/>
  <c r="B17" i="3"/>
  <c r="B9" i="3"/>
  <c r="B4" i="3"/>
  <c r="B16" i="3"/>
  <c r="B14" i="3"/>
  <c r="B5" i="3"/>
  <c r="B10" i="3"/>
  <c r="B18" i="3"/>
  <c r="B8" i="3"/>
  <c r="B3" i="3"/>
  <c r="B6" i="3"/>
  <c r="H20" i="3"/>
  <c r="H21" i="3"/>
  <c r="H19" i="3"/>
  <c r="H18" i="3"/>
  <c r="H17" i="3"/>
  <c r="H16" i="3"/>
  <c r="H15" i="3"/>
  <c r="H14" i="3"/>
  <c r="H13" i="3"/>
  <c r="H12" i="3"/>
  <c r="H11" i="3"/>
  <c r="M12" i="4" s="1"/>
  <c r="H10" i="3"/>
  <c r="H9" i="3"/>
  <c r="H8" i="3"/>
  <c r="H7" i="3"/>
  <c r="H6" i="3"/>
  <c r="H5" i="3"/>
  <c r="H4" i="3"/>
  <c r="H2" i="3"/>
  <c r="H3" i="3"/>
  <c r="P20" i="3"/>
  <c r="P21" i="3"/>
  <c r="P4" i="3"/>
  <c r="P17" i="3"/>
  <c r="P11" i="3"/>
  <c r="I27" i="4" s="1"/>
  <c r="K27" i="4" s="1"/>
  <c r="P5" i="3"/>
  <c r="P2" i="3"/>
  <c r="P18" i="3"/>
  <c r="P13" i="3"/>
  <c r="P19" i="3"/>
  <c r="P12" i="3"/>
  <c r="P3" i="3"/>
  <c r="P16" i="3"/>
  <c r="P14" i="3"/>
  <c r="P10" i="3"/>
  <c r="P6" i="3"/>
  <c r="P8" i="3"/>
  <c r="P9" i="3"/>
  <c r="P7" i="3"/>
  <c r="P15" i="3"/>
  <c r="A10" i="4" l="1"/>
  <c r="I4" i="4"/>
  <c r="M5" i="4"/>
  <c r="E6" i="4"/>
  <c r="A20" i="4"/>
  <c r="E7" i="4"/>
  <c r="Q27" i="4"/>
  <c r="M7" i="4"/>
  <c r="Q7" i="4"/>
  <c r="Q24" i="4"/>
  <c r="E11" i="4"/>
  <c r="M26" i="4"/>
  <c r="I6" i="4"/>
  <c r="M8" i="4"/>
  <c r="Q3" i="4"/>
  <c r="M9" i="4"/>
  <c r="E23" i="4"/>
  <c r="M10" i="4"/>
  <c r="Q5" i="4"/>
  <c r="I23" i="4"/>
  <c r="M21" i="4"/>
  <c r="I22" i="4"/>
  <c r="E4" i="4"/>
  <c r="Q6" i="4"/>
  <c r="Q22" i="4"/>
  <c r="I26" i="4"/>
  <c r="E8" i="4"/>
  <c r="A25" i="4"/>
  <c r="E19" i="4"/>
  <c r="Q9" i="4"/>
  <c r="A23" i="4"/>
  <c r="M6" i="4"/>
  <c r="A22" i="4"/>
  <c r="E18" i="4"/>
  <c r="F18" i="4" s="1"/>
  <c r="G18" i="4" s="1"/>
  <c r="A8" i="4"/>
  <c r="E5" i="4"/>
  <c r="Q10" i="4"/>
  <c r="Q8" i="4"/>
  <c r="A26" i="4"/>
  <c r="I3" i="4"/>
  <c r="E21" i="4"/>
  <c r="M24" i="4"/>
  <c r="I8" i="4"/>
  <c r="A7" i="4"/>
  <c r="A18" i="4"/>
  <c r="B18" i="4" s="1"/>
  <c r="C18" i="4" s="1"/>
  <c r="I7" i="4"/>
  <c r="E26" i="4"/>
  <c r="A21" i="4"/>
  <c r="I11" i="4"/>
  <c r="E24" i="4"/>
  <c r="I21" i="4"/>
  <c r="M11" i="4"/>
  <c r="A9" i="4"/>
  <c r="A3" i="4"/>
  <c r="B3" i="4" s="1"/>
  <c r="C3" i="4" s="1"/>
  <c r="M18" i="4"/>
  <c r="Q19" i="4"/>
  <c r="E20" i="4"/>
  <c r="Q4" i="4"/>
  <c r="Q18" i="4"/>
  <c r="I5" i="4"/>
  <c r="I25" i="4"/>
  <c r="A11" i="4"/>
  <c r="M25" i="4"/>
  <c r="M23" i="4"/>
  <c r="Q20" i="4"/>
  <c r="I10" i="4"/>
  <c r="A24" i="4"/>
  <c r="E22" i="4"/>
  <c r="E9" i="4"/>
  <c r="Q23" i="4"/>
  <c r="E25" i="4"/>
  <c r="M4" i="4"/>
  <c r="M19" i="4"/>
  <c r="M3" i="4"/>
  <c r="N3" i="4" s="1"/>
  <c r="O3" i="4" s="1"/>
  <c r="Q25" i="4"/>
  <c r="I19" i="4"/>
  <c r="Q26" i="4"/>
  <c r="I9" i="4"/>
  <c r="M20" i="4"/>
  <c r="E10" i="4"/>
  <c r="E3" i="4"/>
  <c r="I18" i="4"/>
  <c r="I24" i="4"/>
  <c r="I20" i="4"/>
  <c r="Q11" i="4"/>
  <c r="M22" i="4"/>
  <c r="A19" i="4"/>
  <c r="Q21" i="4"/>
  <c r="A4" i="4"/>
  <c r="A5" i="4"/>
  <c r="A6" i="4"/>
  <c r="D3" i="5" l="1"/>
  <c r="R19" i="4"/>
  <c r="S19" i="4" s="1"/>
  <c r="N24" i="4"/>
  <c r="O24" i="4" s="1"/>
  <c r="B25" i="4"/>
  <c r="C25" i="4" s="1"/>
  <c r="N21" i="4"/>
  <c r="O21" i="4" s="1"/>
  <c r="R27" i="4"/>
  <c r="S27" i="4" s="1"/>
  <c r="R25" i="4"/>
  <c r="S25" i="4" s="1"/>
  <c r="J25" i="4"/>
  <c r="K25" i="4" s="1"/>
  <c r="F3" i="4"/>
  <c r="G3" i="4" s="1"/>
  <c r="R26" i="4"/>
  <c r="S26" i="4" s="1"/>
  <c r="B8" i="4"/>
  <c r="C8" i="4" s="1"/>
  <c r="J19" i="4"/>
  <c r="K19" i="4" s="1"/>
  <c r="B11" i="4"/>
  <c r="C11" i="4" s="1"/>
  <c r="N18" i="4"/>
  <c r="O18" i="4" s="1"/>
  <c r="F21" i="4"/>
  <c r="G21" i="4" s="1"/>
  <c r="J18" i="4"/>
  <c r="K18" i="4" s="1"/>
  <c r="F22" i="4"/>
  <c r="G22" i="4" s="1"/>
  <c r="J3" i="4"/>
  <c r="K3" i="4" s="1"/>
  <c r="R21" i="4"/>
  <c r="S21" i="4" s="1"/>
  <c r="F10" i="4"/>
  <c r="G10" i="4" s="1"/>
  <c r="R6" i="4"/>
  <c r="S6" i="4" s="1"/>
  <c r="D4" i="5"/>
  <c r="N22" i="4"/>
  <c r="O22" i="4" s="1"/>
  <c r="N20" i="4"/>
  <c r="O20" i="4" s="1"/>
  <c r="N4" i="4"/>
  <c r="O4" i="4" s="1"/>
  <c r="R20" i="4"/>
  <c r="S20" i="4" s="1"/>
  <c r="R4" i="4"/>
  <c r="S4" i="4" s="1"/>
  <c r="J21" i="4"/>
  <c r="K21" i="4" s="1"/>
  <c r="B7" i="4"/>
  <c r="C7" i="4" s="1"/>
  <c r="R10" i="4"/>
  <c r="S10" i="4" s="1"/>
  <c r="R9" i="4"/>
  <c r="S9" i="4" s="1"/>
  <c r="F4" i="4"/>
  <c r="G4" i="4" s="1"/>
  <c r="N9" i="4"/>
  <c r="O9" i="4" s="1"/>
  <c r="R7" i="4"/>
  <c r="S7" i="4" s="1"/>
  <c r="J4" i="4"/>
  <c r="K4" i="4" s="1"/>
  <c r="B4" i="4"/>
  <c r="C4" i="4" s="1"/>
  <c r="R23" i="4"/>
  <c r="S23" i="4" s="1"/>
  <c r="F8" i="4"/>
  <c r="G8" i="4" s="1"/>
  <c r="J23" i="4"/>
  <c r="K23" i="4" s="1"/>
  <c r="J6" i="4"/>
  <c r="K6" i="4" s="1"/>
  <c r="F7" i="4"/>
  <c r="G7" i="4" s="1"/>
  <c r="F26" i="4"/>
  <c r="G26" i="4" s="1"/>
  <c r="B22" i="4"/>
  <c r="C22" i="4" s="1"/>
  <c r="J26" i="4"/>
  <c r="K26" i="4" s="1"/>
  <c r="R5" i="4"/>
  <c r="S5" i="4" s="1"/>
  <c r="N26" i="4"/>
  <c r="O26" i="4" s="1"/>
  <c r="B20" i="4"/>
  <c r="C20" i="4" s="1"/>
  <c r="D9" i="5"/>
  <c r="J5" i="4"/>
  <c r="K5" i="4" s="1"/>
  <c r="B9" i="4"/>
  <c r="C9" i="4" s="1"/>
  <c r="J7" i="4"/>
  <c r="K7" i="4" s="1"/>
  <c r="B26" i="4"/>
  <c r="C26" i="4" s="1"/>
  <c r="N6" i="4"/>
  <c r="O6" i="4" s="1"/>
  <c r="R22" i="4"/>
  <c r="S22" i="4" s="1"/>
  <c r="N10" i="4"/>
  <c r="O10" i="4" s="1"/>
  <c r="F11" i="4"/>
  <c r="G11" i="4" s="1"/>
  <c r="F6" i="4"/>
  <c r="G6" i="4" s="1"/>
  <c r="D5" i="5"/>
  <c r="B19" i="4"/>
  <c r="C19" i="4" s="1"/>
  <c r="N19" i="4"/>
  <c r="O19" i="4" s="1"/>
  <c r="J10" i="4"/>
  <c r="K10" i="4" s="1"/>
  <c r="R18" i="4"/>
  <c r="S18" i="4" s="1"/>
  <c r="N11" i="4"/>
  <c r="O11" i="4" s="1"/>
  <c r="R8" i="4"/>
  <c r="S8" i="4" s="1"/>
  <c r="B23" i="4"/>
  <c r="C23" i="4" s="1"/>
  <c r="F23" i="4"/>
  <c r="G23" i="4" s="1"/>
  <c r="N5" i="4"/>
  <c r="O5" i="4" s="1"/>
  <c r="D8" i="5"/>
  <c r="D7" i="5"/>
  <c r="B6" i="4"/>
  <c r="C6" i="4" s="1"/>
  <c r="J20" i="4"/>
  <c r="K20" i="4" s="1"/>
  <c r="N25" i="4"/>
  <c r="O25" i="4" s="1"/>
  <c r="J11" i="4"/>
  <c r="K11" i="4" s="1"/>
  <c r="N8" i="4"/>
  <c r="O8" i="4" s="1"/>
  <c r="J24" i="4"/>
  <c r="K24" i="4" s="1"/>
  <c r="F9" i="4"/>
  <c r="G9" i="4" s="1"/>
  <c r="B21" i="4"/>
  <c r="C21" i="4" s="1"/>
  <c r="D6" i="5"/>
  <c r="B24" i="4"/>
  <c r="C24" i="4" s="1"/>
  <c r="R24" i="4"/>
  <c r="S24" i="4" s="1"/>
  <c r="D11" i="5"/>
  <c r="B5" i="4"/>
  <c r="C5" i="4" s="1"/>
  <c r="R11" i="4"/>
  <c r="S11" i="4" s="1"/>
  <c r="J9" i="4"/>
  <c r="K9" i="4" s="1"/>
  <c r="F25" i="4"/>
  <c r="G25" i="4" s="1"/>
  <c r="N23" i="4"/>
  <c r="O23" i="4" s="1"/>
  <c r="F20" i="4"/>
  <c r="G20" i="4" s="1"/>
  <c r="F24" i="4"/>
  <c r="G24" i="4" s="1"/>
  <c r="J8" i="4"/>
  <c r="K8" i="4" s="1"/>
  <c r="F5" i="4"/>
  <c r="G5" i="4" s="1"/>
  <c r="F19" i="4"/>
  <c r="G19" i="4" s="1"/>
  <c r="J22" i="4"/>
  <c r="K22" i="4" s="1"/>
  <c r="R3" i="4"/>
  <c r="S3" i="4" s="1"/>
  <c r="N7" i="4"/>
  <c r="O7" i="4" s="1"/>
  <c r="B10" i="4"/>
  <c r="C10" i="4" s="1"/>
  <c r="D2" i="5"/>
  <c r="C28" i="4" l="1"/>
  <c r="B7" i="5" s="1"/>
  <c r="G13" i="4"/>
  <c r="B3" i="5" s="1"/>
  <c r="C13" i="4"/>
  <c r="B2" i="5" s="1"/>
  <c r="O13" i="4"/>
  <c r="B5" i="5" s="1"/>
  <c r="G28" i="4"/>
  <c r="K13" i="4"/>
  <c r="B4" i="5" s="1"/>
  <c r="S28" i="4"/>
  <c r="B11" i="5" s="1"/>
  <c r="K28" i="4"/>
  <c r="B9" i="5" s="1"/>
  <c r="S13" i="4"/>
  <c r="B6" i="5" s="1"/>
  <c r="O28" i="4"/>
  <c r="B10" i="5" s="1"/>
  <c r="C3" i="5"/>
  <c r="C4" i="5"/>
  <c r="C9" i="5"/>
  <c r="C8" i="5"/>
  <c r="B8" i="5"/>
  <c r="C5" i="5"/>
  <c r="C7" i="5"/>
  <c r="C2" i="5"/>
  <c r="D10" i="5"/>
  <c r="C6" i="5"/>
  <c r="C11" i="5"/>
  <c r="C1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20F07E-807C-4DAF-A7BF-7A241FDAF7C5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<sst xmlns="http://schemas.openxmlformats.org/spreadsheetml/2006/main" count="1287" uniqueCount="215">
  <si>
    <t>Masters Draft Scoring Workbook</t>
  </si>
  <si>
    <t>Step</t>
  </si>
  <si>
    <t>What to do</t>
  </si>
  <si>
    <t>From your draft webpage, export the finished draft board to CSV.</t>
  </si>
  <si>
    <t>Open the CSV, copy everything, and paste it into the Draft_Import sheet starting in cell A1. You can paste the header row too.</t>
  </si>
  <si>
    <t>Go to the Team_Scoring sheet. Each team roster will fill in automatically based on the Team and Player columns from the pasted draft.</t>
  </si>
  <si>
    <t>The Numeric column converts E or (E) into 0 automatically.</t>
  </si>
  <si>
    <t>The Team_Summary sheet shows every team's live total in one place.</t>
  </si>
  <si>
    <t>Examples</t>
  </si>
  <si>
    <t>Entered score</t>
  </si>
  <si>
    <t>Numeric result</t>
  </si>
  <si>
    <t>E</t>
  </si>
  <si>
    <t>0</t>
  </si>
  <si>
    <t>(E)</t>
  </si>
  <si>
    <t>-4</t>
  </si>
  <si>
    <t>+3</t>
  </si>
  <si>
    <t>3</t>
  </si>
  <si>
    <t>Round</t>
  </si>
  <si>
    <t>Pick In Round</t>
  </si>
  <si>
    <t>Overall Pick</t>
  </si>
  <si>
    <t>Team</t>
  </si>
  <si>
    <t>Player</t>
  </si>
  <si>
    <t>Score</t>
  </si>
  <si>
    <t>Numeric</t>
  </si>
  <si>
    <t>Scores Entered</t>
  </si>
  <si>
    <t>Roster Loaded</t>
  </si>
  <si>
    <t>Example</t>
  </si>
  <si>
    <t>If a team has scores of -4, -4, -4, and E, the Best 4 Total returns -12 because E is converted to 0.</t>
  </si>
  <si>
    <t>Hideki Matsuyama</t>
  </si>
  <si>
    <t>Tommy Fleetwood</t>
  </si>
  <si>
    <t>Jordan Spieth</t>
  </si>
  <si>
    <t>Sepp Straka</t>
  </si>
  <si>
    <t>Russell Henley</t>
  </si>
  <si>
    <t>Robert MacIntyre</t>
  </si>
  <si>
    <t>Maverick McNealy</t>
  </si>
  <si>
    <t>Si Woo Kim</t>
  </si>
  <si>
    <t>Brian Harman</t>
  </si>
  <si>
    <t>Nick Taylor</t>
  </si>
  <si>
    <t>Max Homa</t>
  </si>
  <si>
    <t>J.J. Spaun</t>
  </si>
  <si>
    <t>Michael Kim</t>
  </si>
  <si>
    <t>Matt McCarty</t>
  </si>
  <si>
    <t>Team 1</t>
  </si>
  <si>
    <t>Team 2</t>
  </si>
  <si>
    <t>Team 3</t>
  </si>
  <si>
    <t>Team 4</t>
  </si>
  <si>
    <t>Team 5</t>
  </si>
  <si>
    <t>Team 6</t>
  </si>
  <si>
    <t>Team 7</t>
  </si>
  <si>
    <t>Team 8</t>
  </si>
  <si>
    <t>Team 9</t>
  </si>
  <si>
    <t>Team 10</t>
  </si>
  <si>
    <t>Ludvig Åberg</t>
  </si>
  <si>
    <t>-</t>
  </si>
  <si>
    <t>Column1</t>
  </si>
  <si>
    <t/>
  </si>
  <si>
    <t>POS</t>
  </si>
  <si>
    <t>PLAYER</t>
  </si>
  <si>
    <t>SCORE</t>
  </si>
  <si>
    <t>R1</t>
  </si>
  <si>
    <t>R2</t>
  </si>
  <si>
    <t>R3</t>
  </si>
  <si>
    <t>R4</t>
  </si>
  <si>
    <t>1</t>
  </si>
  <si>
    <t>T2</t>
  </si>
  <si>
    <t>7</t>
  </si>
  <si>
    <t>Kristoffer Reitan</t>
  </si>
  <si>
    <t>Andrew Novak</t>
  </si>
  <si>
    <t>Sami Välimäki</t>
  </si>
  <si>
    <t>Marco Penge</t>
  </si>
  <si>
    <t>Alex Noren</t>
  </si>
  <si>
    <t>-2</t>
  </si>
  <si>
    <t>-1</t>
  </si>
  <si>
    <t>+1</t>
  </si>
  <si>
    <t>+2</t>
  </si>
  <si>
    <t>--</t>
  </si>
  <si>
    <t>Haotong Li</t>
  </si>
  <si>
    <t>Johnny Keefer</t>
  </si>
  <si>
    <t>TOT</t>
  </si>
  <si>
    <t>Jon Rahm</t>
  </si>
  <si>
    <t>Scottie Scheffler</t>
  </si>
  <si>
    <t>Bryson DeChambeau</t>
  </si>
  <si>
    <t>Xander Schauffele</t>
  </si>
  <si>
    <t>Rory McIlroy</t>
  </si>
  <si>
    <t>Justin Rose</t>
  </si>
  <si>
    <t>Matt Fitzpatrick</t>
  </si>
  <si>
    <t>Cameron Young</t>
  </si>
  <si>
    <t>Patrick Reed</t>
  </si>
  <si>
    <t>Collin Morikawa</t>
  </si>
  <si>
    <t>Brooks Koepka</t>
  </si>
  <si>
    <t>Akshay Bhatia</t>
  </si>
  <si>
    <t>Chris Gotterup</t>
  </si>
  <si>
    <t>Min Woo Lee</t>
  </si>
  <si>
    <t>Viktor Hovland</t>
  </si>
  <si>
    <t>Jacob Bridgeman</t>
  </si>
  <si>
    <t>Sam Burns</t>
  </si>
  <si>
    <t>Jason Day</t>
  </si>
  <si>
    <t>Justin Thomas</t>
  </si>
  <si>
    <t>Jake Knapp</t>
  </si>
  <si>
    <t>Corey Conners</t>
  </si>
  <si>
    <t>Cameron Smith</t>
  </si>
  <si>
    <t>Tyrrell Hatton</t>
  </si>
  <si>
    <t>Sungjae Im</t>
  </si>
  <si>
    <t>Gary Woodland</t>
  </si>
  <si>
    <t>Harris English</t>
  </si>
  <si>
    <t>Patrick Cantlay</t>
  </si>
  <si>
    <t>Shane Lowry</t>
  </si>
  <si>
    <t>Keegan Bradley</t>
  </si>
  <si>
    <t>Kurt Kitayama</t>
  </si>
  <si>
    <t>Wyndham Clark</t>
  </si>
  <si>
    <t>Adam Scott</t>
  </si>
  <si>
    <t>Daniel Berger</t>
  </si>
  <si>
    <t>Ryan Fox</t>
  </si>
  <si>
    <t>Harry Hall</t>
  </si>
  <si>
    <t>Aldrich Potgieter</t>
  </si>
  <si>
    <t>Ben Griffin</t>
  </si>
  <si>
    <t>Aaron Rai</t>
  </si>
  <si>
    <t>Dustin Johnson</t>
  </si>
  <si>
    <t>Nicolas Echavarria</t>
  </si>
  <si>
    <t>Ryan Gerard</t>
  </si>
  <si>
    <t>Sam Stevens</t>
  </si>
  <si>
    <t>Sergio Garcia</t>
  </si>
  <si>
    <t>Max Greyserman</t>
  </si>
  <si>
    <t>Zach Johnson</t>
  </si>
  <si>
    <t>Bubba Watson</t>
  </si>
  <si>
    <t>Michael Brennan</t>
  </si>
  <si>
    <t>Rasmus Neergaard-Petersen</t>
  </si>
  <si>
    <t>Carlos Ortiz</t>
  </si>
  <si>
    <t>Fred Couples</t>
  </si>
  <si>
    <t>Tom McKibbin</t>
  </si>
  <si>
    <t>Brian Campbell</t>
  </si>
  <si>
    <t>Casey Jarvis</t>
  </si>
  <si>
    <t>Davis Riley</t>
  </si>
  <si>
    <t>Mike Weir</t>
  </si>
  <si>
    <t>Vijay Singh</t>
  </si>
  <si>
    <t>Charl Schwartzel</t>
  </si>
  <si>
    <t>Danny Willett</t>
  </si>
  <si>
    <t>John Keefer</t>
  </si>
  <si>
    <t>Naoyuki Kataoka</t>
  </si>
  <si>
    <t>José María Olazábal</t>
  </si>
  <si>
    <t>Ángel Cabrera</t>
  </si>
  <si>
    <t>Jackson Herrington (a)</t>
  </si>
  <si>
    <t>Rasmus Højgaard</t>
  </si>
  <si>
    <t>Brandon Holtz (a)</t>
  </si>
  <si>
    <t>Nico Echavarria</t>
  </si>
  <si>
    <t>Mason Howell (a)</t>
  </si>
  <si>
    <t>Mateo Pulcini (a)</t>
  </si>
  <si>
    <t>Nicolai Højgaard</t>
  </si>
  <si>
    <t>Ethan Fang (a)</t>
  </si>
  <si>
    <t>Fifa Laopakdee (a)</t>
  </si>
  <si>
    <t>Sergio García</t>
  </si>
  <si>
    <t>TODAY</t>
  </si>
  <si>
    <t>THRU</t>
  </si>
  <si>
    <t>4</t>
  </si>
  <si>
    <t>2</t>
  </si>
  <si>
    <t>12</t>
  </si>
  <si>
    <t>5</t>
  </si>
  <si>
    <t>20</t>
  </si>
  <si>
    <t>9</t>
  </si>
  <si>
    <t>6</t>
  </si>
  <si>
    <t>24</t>
  </si>
  <si>
    <t>17</t>
  </si>
  <si>
    <t>10</t>
  </si>
  <si>
    <t>25</t>
  </si>
  <si>
    <t>15</t>
  </si>
  <si>
    <t>+7</t>
  </si>
  <si>
    <t>27</t>
  </si>
  <si>
    <t>8:43 AM</t>
  </si>
  <si>
    <t>8:55 AM</t>
  </si>
  <si>
    <t>9:07 AM</t>
  </si>
  <si>
    <t>9:19 AM</t>
  </si>
  <si>
    <t>9:31 AM</t>
  </si>
  <si>
    <t>9:43 AM</t>
  </si>
  <si>
    <t>10:03 AM</t>
  </si>
  <si>
    <t>10:15 AM</t>
  </si>
  <si>
    <t>10:27 AM</t>
  </si>
  <si>
    <t>10:39 AM</t>
  </si>
  <si>
    <t>10:51 AM</t>
  </si>
  <si>
    <t>11:03 AM</t>
  </si>
  <si>
    <t>11:15 AM</t>
  </si>
  <si>
    <t>11:27 AM</t>
  </si>
  <si>
    <t>11:44 AM</t>
  </si>
  <si>
    <t>11:56 AM</t>
  </si>
  <si>
    <t>12:08 PM</t>
  </si>
  <si>
    <t>12:20 PM</t>
  </si>
  <si>
    <t>12:32 PM</t>
  </si>
  <si>
    <t>12:44 PM</t>
  </si>
  <si>
    <t>12:56 PM</t>
  </si>
  <si>
    <t>16</t>
  </si>
  <si>
    <t>23</t>
  </si>
  <si>
    <t>On Team Scoring - Each team's Best 4 Total adds the four lowest numeric scores currently entered for that team.</t>
  </si>
  <si>
    <t>Ross</t>
  </si>
  <si>
    <t>Bryan</t>
  </si>
  <si>
    <t>Dan 'Full Swing' Clark</t>
  </si>
  <si>
    <t>Roth</t>
  </si>
  <si>
    <t>Coulter</t>
  </si>
  <si>
    <t>Klooster</t>
  </si>
  <si>
    <t>Adam &amp; Kevin</t>
  </si>
  <si>
    <t>Asshole Garrett</t>
  </si>
  <si>
    <t>Cool Tony</t>
  </si>
  <si>
    <t>Samuel Stevens</t>
  </si>
  <si>
    <t>Melbye²</t>
  </si>
  <si>
    <t>21</t>
  </si>
  <si>
    <t>8</t>
  </si>
  <si>
    <t>33</t>
  </si>
  <si>
    <t>34</t>
  </si>
  <si>
    <t>30</t>
  </si>
  <si>
    <t>+4</t>
  </si>
  <si>
    <t>Best 3 Total</t>
  </si>
  <si>
    <t>T4</t>
  </si>
  <si>
    <t>T14</t>
  </si>
  <si>
    <t>28</t>
  </si>
  <si>
    <t>14</t>
  </si>
  <si>
    <t>T26</t>
  </si>
  <si>
    <t>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</si>
</sst>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13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8"/>
      <name val="Calibri"/>
      <family val="2"/>
      <scheme val="minor"/>
    </font>
    <font>
      <b/>
      <sz val="22"/>
      <color rgb="FF000000"/>
      <name val="Calibri"/>
      <family val="2"/>
    </font>
    <font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4" fillId="0" borderId="0" xfId="0" applyFont="1"/>
    <xf numFmtId="0" fontId="3" fillId="4" borderId="0" xfId="0" applyFont="1" applyFill="1"/>
    <xf numFmtId="0" fontId="0" fillId="5" borderId="0" xfId="0" applyFill="1"/>
    <xf numFmtId="0" fontId="5" fillId="5" borderId="0" xfId="0" applyFont="1" applyFill="1"/>
    <xf numFmtId="0" fontId="3" fillId="4" borderId="0" xfId="0" applyFont="1" applyFill="1" applyAlignment="1">
      <alignment horizontal="center"/>
    </xf>
    <xf numFmtId="0" fontId="6" fillId="0" borderId="1" xfId="0" applyFont="1" applyBorder="1"/>
    <xf numFmtId="0" fontId="5" fillId="5" borderId="1" xfId="0" applyFon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3" fillId="6" borderId="0" xfId="0" applyNumberFormat="1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0" xfId="0"/>
    <xf numFmtId="0" fontId="9" fillId="0" borderId="2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0" fillId="0" borderId="5" xfId="0" applyBorder="1"/>
    <xf numFmtId="0" fontId="0" fillId="0" borderId="0" xfId="0" applyNumberFormat="1"/>
    <xf numFmtId="0" fontId="0" fillId="0" borderId="0" xfId="0"/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2" fillId="0" borderId="2" xfId="0" applyFont="1" applyBorder="1"/>
    <xf numFmtId="0" fontId="3" fillId="6" borderId="0" xfId="0" applyFont="1" applyFill="1"/>
    <xf numFmtId="0" fontId="0" fillId="0" borderId="0" xfId="0"/>
    <xf numFmtId="0" fontId="2" fillId="2" borderId="0" xfId="0" applyFont="1" applyFill="1" applyAlignment="1">
      <alignment horizontal="center"/>
    </xf>
    <xf numFmtId="0" fontId="0" fillId="7" borderId="0" xfId="0" applyFill="1" applyAlignment="1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13D28F-E11F-4C16-B82D-A78E4AA9FB7D}" autoFormatId="16" applyNumberFormats="0" applyBorderFormats="0" applyFontFormats="0" applyPatternFormats="0" applyAlignmentFormats="0" applyWidthHeightFormats="0">
  <queryTableRefresh nextId="16">
    <queryTableFields count="11">
      <queryTableField id="1" name="Column1" tableColumnId="1"/>
      <queryTableField id="2" name="POS" tableColumnId="2"/>
      <queryTableField id="3" name="PLAYER" tableColumnId="3"/>
      <queryTableField id="4" name="SCORE" tableColumnId="4"/>
      <queryTableField id="12" name="TODAY" tableColumnId="10"/>
      <queryTableField id="13" name="THRU" tableColumnId="11"/>
      <queryTableField id="5" name="R1" tableColumnId="5"/>
      <queryTableField id="6" name="R2" tableColumnId="6"/>
      <queryTableField id="7" name="R3" tableColumnId="7"/>
      <queryTableField id="8" name="R4" tableColumnId="8"/>
      <queryTableField id="9" name="TO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BB297D-0352-4FB6-B7F7-12F78D7CCA4A}" name="Table_1" displayName="Table_1" ref="A1:K92" tableType="queryTable" totalsRowShown="0">
  <autoFilter ref="A1:K92" xr:uid="{EDBB297D-0352-4FB6-B7F7-12F78D7CCA4A}"/>
  <tableColumns count="11">
    <tableColumn id="1" xr3:uid="{07433CE6-0F2C-4B9A-BE29-D737DB83ACD8}" uniqueName="1" name="Column1" queryTableFieldId="1" dataDxfId="10"/>
    <tableColumn id="2" xr3:uid="{7A48933C-794D-47DC-8940-885AC6BB733E}" uniqueName="2" name="POS" queryTableFieldId="2" dataDxfId="9"/>
    <tableColumn id="3" xr3:uid="{C33FF1A2-CCA1-4DBF-A382-B4AEE7F4DFA4}" uniqueName="3" name="PLAYER" queryTableFieldId="3" dataDxfId="8"/>
    <tableColumn id="4" xr3:uid="{98622CBC-3BA9-4E18-BD5D-F5F7F8553EE4}" uniqueName="4" name="SCORE" queryTableFieldId="4" dataDxfId="7"/>
    <tableColumn id="10" xr3:uid="{D15026A5-4DD3-4951-B421-0ECFB94EB687}" uniqueName="10" name="TODAY" queryTableFieldId="12" dataDxfId="6"/>
    <tableColumn id="11" xr3:uid="{25D6F008-9E3A-4B57-B5BF-7227BC68FF48}" uniqueName="11" name="THRU" queryTableFieldId="13" dataDxfId="5"/>
    <tableColumn id="5" xr3:uid="{657B8FD6-8487-4B47-8F86-0E1B45F9C3BD}" uniqueName="5" name="R1" queryTableFieldId="5" dataDxfId="4"/>
    <tableColumn id="6" xr3:uid="{C46DD903-28A4-4BBE-BF6C-C9324BBC6CDA}" uniqueName="6" name="R2" queryTableFieldId="6" dataDxfId="3"/>
    <tableColumn id="7" xr3:uid="{223DD1AD-5C48-4919-87EF-6B980F1EC96C}" uniqueName="7" name="R3" queryTableFieldId="7" dataDxfId="2"/>
    <tableColumn id="8" xr3:uid="{80CD8EB3-92D7-4B93-BE00-8339ACA6BA87}" uniqueName="8" name="R4" queryTableFieldId="8" dataDxfId="1"/>
    <tableColumn id="9" xr3:uid="{48D5A723-727F-4517-9CB0-6143173F548D}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18"/>
  <sheetViews>
    <sheetView showGridLines="0" workbookViewId="0">
      <selection activeCell="B9" sqref="B9"/>
    </sheetView>
  </sheetViews>
  <sheetFormatPr defaultRowHeight="15" x14ac:dyDescent="0.25"/>
  <cols>
    <col min="1" max="1" width="12" customWidth="1"/>
    <col min="2" max="2" width="110" customWidth="1"/>
  </cols>
  <sheetData>
    <row r="1" spans="1:2" ht="21" x14ac:dyDescent="0.35">
      <c r="A1" s="1" t="s">
        <v>0</v>
      </c>
    </row>
    <row r="3" spans="1:2" x14ac:dyDescent="0.25">
      <c r="A3" s="2" t="s">
        <v>1</v>
      </c>
      <c r="B3" s="2" t="s">
        <v>2</v>
      </c>
    </row>
    <row r="4" spans="1:2" x14ac:dyDescent="0.25">
      <c r="A4" s="3">
        <v>1</v>
      </c>
      <c r="B4" s="4" t="s">
        <v>3</v>
      </c>
    </row>
    <row r="5" spans="1:2" ht="30" x14ac:dyDescent="0.25">
      <c r="A5" s="3">
        <v>2</v>
      </c>
      <c r="B5" s="4" t="s">
        <v>4</v>
      </c>
    </row>
    <row r="6" spans="1:2" ht="30" x14ac:dyDescent="0.25">
      <c r="A6" s="3">
        <v>3</v>
      </c>
      <c r="B6" s="4" t="s">
        <v>5</v>
      </c>
    </row>
    <row r="7" spans="1:2" x14ac:dyDescent="0.25">
      <c r="A7" s="3">
        <v>5</v>
      </c>
      <c r="B7" s="4" t="s">
        <v>6</v>
      </c>
    </row>
    <row r="8" spans="1:2" x14ac:dyDescent="0.25">
      <c r="A8" s="3">
        <v>6</v>
      </c>
      <c r="B8" s="4" t="s">
        <v>190</v>
      </c>
    </row>
    <row r="9" spans="1:2" x14ac:dyDescent="0.25">
      <c r="A9" s="3">
        <v>7</v>
      </c>
      <c r="B9" s="4" t="s">
        <v>7</v>
      </c>
    </row>
    <row r="12" spans="1:2" ht="15.75" x14ac:dyDescent="0.25">
      <c r="A12" s="5" t="s">
        <v>8</v>
      </c>
    </row>
    <row r="13" spans="1:2" x14ac:dyDescent="0.25">
      <c r="A13" s="6" t="s">
        <v>9</v>
      </c>
      <c r="B13" s="6" t="s">
        <v>10</v>
      </c>
    </row>
    <row r="14" spans="1:2" x14ac:dyDescent="0.25">
      <c r="A14" t="s">
        <v>11</v>
      </c>
      <c r="B14" t="s">
        <v>12</v>
      </c>
    </row>
    <row r="15" spans="1:2" x14ac:dyDescent="0.25">
      <c r="A15" t="s">
        <v>13</v>
      </c>
      <c r="B15" t="s">
        <v>12</v>
      </c>
    </row>
    <row r="16" spans="1:2" x14ac:dyDescent="0.25">
      <c r="A16" t="s">
        <v>14</v>
      </c>
      <c r="B16" t="s">
        <v>14</v>
      </c>
    </row>
    <row r="17" spans="1:2" x14ac:dyDescent="0.25">
      <c r="A17" t="s">
        <v>15</v>
      </c>
      <c r="B17" t="s">
        <v>16</v>
      </c>
    </row>
    <row r="18" spans="1:2" x14ac:dyDescent="0.25">
      <c r="A18" t="s">
        <v>12</v>
      </c>
      <c r="B18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defaultRowHeight="15" x14ac:dyDescent="0.25"/>
  <cols>
    <col min="1" max="1" width="10" customWidth="1"/>
    <col min="2" max="2" width="15" customWidth="1"/>
    <col min="3" max="3" width="13" customWidth="1"/>
    <col min="4" max="4" width="22" customWidth="1"/>
    <col min="5" max="5" width="28" customWidth="1"/>
  </cols>
  <sheetData>
    <row r="1" spans="1:5" x14ac:dyDescent="0.25">
      <c r="A1" s="23" t="s">
        <v>17</v>
      </c>
      <c r="B1" s="23" t="s">
        <v>18</v>
      </c>
      <c r="C1" s="23" t="s">
        <v>19</v>
      </c>
      <c r="D1" s="23" t="s">
        <v>20</v>
      </c>
      <c r="E1" s="23" t="s">
        <v>21</v>
      </c>
    </row>
    <row r="2" spans="1:5" x14ac:dyDescent="0.25">
      <c r="A2" s="23">
        <v>1</v>
      </c>
      <c r="B2" s="23">
        <v>1</v>
      </c>
      <c r="C2" s="23">
        <v>1</v>
      </c>
      <c r="D2" s="23" t="s">
        <v>191</v>
      </c>
      <c r="E2" s="23" t="s">
        <v>80</v>
      </c>
    </row>
    <row r="3" spans="1:5" x14ac:dyDescent="0.25">
      <c r="A3" s="23">
        <v>1</v>
      </c>
      <c r="B3" s="23">
        <v>2</v>
      </c>
      <c r="C3" s="23">
        <v>2</v>
      </c>
      <c r="D3" s="23" t="s">
        <v>201</v>
      </c>
      <c r="E3" s="23" t="s">
        <v>81</v>
      </c>
    </row>
    <row r="4" spans="1:5" x14ac:dyDescent="0.25">
      <c r="A4" s="23">
        <v>1</v>
      </c>
      <c r="B4" s="23">
        <v>3</v>
      </c>
      <c r="C4" s="23">
        <v>3</v>
      </c>
      <c r="D4" s="23" t="s">
        <v>192</v>
      </c>
      <c r="E4" s="23" t="s">
        <v>79</v>
      </c>
    </row>
    <row r="5" spans="1:5" x14ac:dyDescent="0.25">
      <c r="A5" s="23">
        <v>1</v>
      </c>
      <c r="B5" s="23">
        <v>4</v>
      </c>
      <c r="C5" s="23">
        <v>4</v>
      </c>
      <c r="D5" s="23" t="s">
        <v>193</v>
      </c>
      <c r="E5" s="23" t="s">
        <v>52</v>
      </c>
    </row>
    <row r="6" spans="1:5" x14ac:dyDescent="0.25">
      <c r="A6" s="23">
        <v>1</v>
      </c>
      <c r="B6" s="23">
        <v>5</v>
      </c>
      <c r="C6" s="23">
        <v>5</v>
      </c>
      <c r="D6" s="23" t="s">
        <v>194</v>
      </c>
      <c r="E6" s="23" t="s">
        <v>83</v>
      </c>
    </row>
    <row r="7" spans="1:5" x14ac:dyDescent="0.25">
      <c r="A7" s="23">
        <v>1</v>
      </c>
      <c r="B7" s="23">
        <v>6</v>
      </c>
      <c r="C7" s="23">
        <v>6</v>
      </c>
      <c r="D7" s="23" t="s">
        <v>195</v>
      </c>
      <c r="E7" s="23" t="s">
        <v>82</v>
      </c>
    </row>
    <row r="8" spans="1:5" x14ac:dyDescent="0.25">
      <c r="A8" s="23">
        <v>1</v>
      </c>
      <c r="B8" s="23">
        <v>7</v>
      </c>
      <c r="C8" s="23">
        <v>7</v>
      </c>
      <c r="D8" s="23" t="s">
        <v>196</v>
      </c>
      <c r="E8" s="23" t="s">
        <v>84</v>
      </c>
    </row>
    <row r="9" spans="1:5" x14ac:dyDescent="0.25">
      <c r="A9" s="23">
        <v>1</v>
      </c>
      <c r="B9" s="23">
        <v>8</v>
      </c>
      <c r="C9" s="23">
        <v>8</v>
      </c>
      <c r="D9" s="23" t="s">
        <v>197</v>
      </c>
      <c r="E9" s="23" t="s">
        <v>86</v>
      </c>
    </row>
    <row r="10" spans="1:5" x14ac:dyDescent="0.25">
      <c r="A10" s="23">
        <v>1</v>
      </c>
      <c r="B10" s="23">
        <v>9</v>
      </c>
      <c r="C10" s="23">
        <v>9</v>
      </c>
      <c r="D10" s="23" t="s">
        <v>198</v>
      </c>
      <c r="E10" s="23" t="s">
        <v>88</v>
      </c>
    </row>
    <row r="11" spans="1:5" x14ac:dyDescent="0.25">
      <c r="A11" s="23">
        <v>1</v>
      </c>
      <c r="B11" s="23">
        <v>10</v>
      </c>
      <c r="C11" s="23">
        <v>10</v>
      </c>
      <c r="D11" s="23" t="s">
        <v>199</v>
      </c>
      <c r="E11" s="23" t="s">
        <v>29</v>
      </c>
    </row>
    <row r="12" spans="1:5" x14ac:dyDescent="0.25">
      <c r="A12" s="23">
        <v>2</v>
      </c>
      <c r="B12" s="23">
        <v>1</v>
      </c>
      <c r="C12" s="23">
        <v>11</v>
      </c>
      <c r="D12" s="23" t="s">
        <v>199</v>
      </c>
      <c r="E12" s="23" t="s">
        <v>85</v>
      </c>
    </row>
    <row r="13" spans="1:5" x14ac:dyDescent="0.25">
      <c r="A13" s="23">
        <v>2</v>
      </c>
      <c r="B13" s="23">
        <v>2</v>
      </c>
      <c r="C13" s="23">
        <v>12</v>
      </c>
      <c r="D13" s="23" t="s">
        <v>198</v>
      </c>
      <c r="E13" s="23" t="s">
        <v>92</v>
      </c>
    </row>
    <row r="14" spans="1:5" x14ac:dyDescent="0.25">
      <c r="A14" s="23">
        <v>2</v>
      </c>
      <c r="B14" s="23">
        <v>3</v>
      </c>
      <c r="C14" s="23">
        <v>13</v>
      </c>
      <c r="D14" s="23" t="s">
        <v>197</v>
      </c>
      <c r="E14" s="23" t="s">
        <v>87</v>
      </c>
    </row>
    <row r="15" spans="1:5" x14ac:dyDescent="0.25">
      <c r="A15" s="23">
        <v>2</v>
      </c>
      <c r="B15" s="23">
        <v>4</v>
      </c>
      <c r="C15" s="23">
        <v>14</v>
      </c>
      <c r="D15" s="23" t="s">
        <v>196</v>
      </c>
      <c r="E15" s="23" t="s">
        <v>33</v>
      </c>
    </row>
    <row r="16" spans="1:5" x14ac:dyDescent="0.25">
      <c r="A16" s="23">
        <v>2</v>
      </c>
      <c r="B16" s="23">
        <v>5</v>
      </c>
      <c r="C16" s="23">
        <v>15</v>
      </c>
      <c r="D16" s="23" t="s">
        <v>195</v>
      </c>
      <c r="E16" s="23" t="s">
        <v>30</v>
      </c>
    </row>
    <row r="17" spans="1:5" x14ac:dyDescent="0.25">
      <c r="A17" s="23">
        <v>2</v>
      </c>
      <c r="B17" s="23">
        <v>6</v>
      </c>
      <c r="C17" s="23">
        <v>16</v>
      </c>
      <c r="D17" s="23" t="s">
        <v>194</v>
      </c>
      <c r="E17" s="23" t="s">
        <v>28</v>
      </c>
    </row>
    <row r="18" spans="1:5" x14ac:dyDescent="0.25">
      <c r="A18" s="23">
        <v>2</v>
      </c>
      <c r="B18" s="23">
        <v>7</v>
      </c>
      <c r="C18" s="23">
        <v>17</v>
      </c>
      <c r="D18" s="23" t="s">
        <v>193</v>
      </c>
      <c r="E18" s="23" t="s">
        <v>35</v>
      </c>
    </row>
    <row r="19" spans="1:5" x14ac:dyDescent="0.25">
      <c r="A19" s="23">
        <v>2</v>
      </c>
      <c r="B19" s="23">
        <v>8</v>
      </c>
      <c r="C19" s="23">
        <v>18</v>
      </c>
      <c r="D19" s="23" t="s">
        <v>192</v>
      </c>
      <c r="E19" s="23" t="s">
        <v>32</v>
      </c>
    </row>
    <row r="20" spans="1:5" x14ac:dyDescent="0.25">
      <c r="A20" s="23">
        <v>2</v>
      </c>
      <c r="B20" s="23">
        <v>9</v>
      </c>
      <c r="C20" s="23">
        <v>19</v>
      </c>
      <c r="D20" s="23" t="s">
        <v>201</v>
      </c>
      <c r="E20" s="23" t="s">
        <v>89</v>
      </c>
    </row>
    <row r="21" spans="1:5" x14ac:dyDescent="0.25">
      <c r="A21" s="23">
        <v>2</v>
      </c>
      <c r="B21" s="23">
        <v>10</v>
      </c>
      <c r="C21" s="23">
        <v>20</v>
      </c>
      <c r="D21" s="23" t="s">
        <v>191</v>
      </c>
      <c r="E21" s="23" t="s">
        <v>90</v>
      </c>
    </row>
    <row r="22" spans="1:5" x14ac:dyDescent="0.25">
      <c r="A22" s="23">
        <v>3</v>
      </c>
      <c r="B22" s="23">
        <v>1</v>
      </c>
      <c r="C22" s="23">
        <v>21</v>
      </c>
      <c r="D22" s="23" t="s">
        <v>191</v>
      </c>
      <c r="E22" s="23" t="s">
        <v>91</v>
      </c>
    </row>
    <row r="23" spans="1:5" x14ac:dyDescent="0.25">
      <c r="A23" s="23">
        <v>3</v>
      </c>
      <c r="B23" s="23">
        <v>2</v>
      </c>
      <c r="C23" s="23">
        <v>22</v>
      </c>
      <c r="D23" s="23" t="s">
        <v>201</v>
      </c>
      <c r="E23" s="23" t="s">
        <v>98</v>
      </c>
    </row>
    <row r="24" spans="1:5" x14ac:dyDescent="0.25">
      <c r="A24" s="23">
        <v>3</v>
      </c>
      <c r="B24" s="23">
        <v>3</v>
      </c>
      <c r="C24" s="23">
        <v>23</v>
      </c>
      <c r="D24" s="23" t="s">
        <v>192</v>
      </c>
      <c r="E24" s="23" t="s">
        <v>99</v>
      </c>
    </row>
    <row r="25" spans="1:5" x14ac:dyDescent="0.25">
      <c r="A25" s="23">
        <v>3</v>
      </c>
      <c r="B25" s="23">
        <v>4</v>
      </c>
      <c r="C25" s="23">
        <v>24</v>
      </c>
      <c r="D25" s="23" t="s">
        <v>193</v>
      </c>
      <c r="E25" s="23" t="s">
        <v>94</v>
      </c>
    </row>
    <row r="26" spans="1:5" x14ac:dyDescent="0.25">
      <c r="A26" s="23">
        <v>3</v>
      </c>
      <c r="B26" s="23">
        <v>5</v>
      </c>
      <c r="C26" s="23">
        <v>25</v>
      </c>
      <c r="D26" s="23" t="s">
        <v>194</v>
      </c>
      <c r="E26" s="23" t="s">
        <v>39</v>
      </c>
    </row>
    <row r="27" spans="1:5" x14ac:dyDescent="0.25">
      <c r="A27" s="23">
        <v>3</v>
      </c>
      <c r="B27" s="23">
        <v>6</v>
      </c>
      <c r="C27" s="23">
        <v>26</v>
      </c>
      <c r="D27" s="23" t="s">
        <v>195</v>
      </c>
      <c r="E27" s="23" t="s">
        <v>97</v>
      </c>
    </row>
    <row r="28" spans="1:5" x14ac:dyDescent="0.25">
      <c r="A28" s="23">
        <v>3</v>
      </c>
      <c r="B28" s="23">
        <v>7</v>
      </c>
      <c r="C28" s="23">
        <v>27</v>
      </c>
      <c r="D28" s="23" t="s">
        <v>196</v>
      </c>
      <c r="E28" s="23" t="s">
        <v>147</v>
      </c>
    </row>
    <row r="29" spans="1:5" x14ac:dyDescent="0.25">
      <c r="A29" s="23">
        <v>3</v>
      </c>
      <c r="B29" s="23">
        <v>8</v>
      </c>
      <c r="C29" s="23">
        <v>28</v>
      </c>
      <c r="D29" s="23" t="s">
        <v>197</v>
      </c>
      <c r="E29" s="23" t="s">
        <v>100</v>
      </c>
    </row>
    <row r="30" spans="1:5" x14ac:dyDescent="0.25">
      <c r="A30" s="23">
        <v>3</v>
      </c>
      <c r="B30" s="23">
        <v>9</v>
      </c>
      <c r="C30" s="23">
        <v>29</v>
      </c>
      <c r="D30" s="23" t="s">
        <v>198</v>
      </c>
      <c r="E30" s="23" t="s">
        <v>38</v>
      </c>
    </row>
    <row r="31" spans="1:5" x14ac:dyDescent="0.25">
      <c r="A31" s="23">
        <v>3</v>
      </c>
      <c r="B31" s="23">
        <v>10</v>
      </c>
      <c r="C31" s="23">
        <v>30</v>
      </c>
      <c r="D31" s="23" t="s">
        <v>199</v>
      </c>
      <c r="E31" s="23" t="s">
        <v>93</v>
      </c>
    </row>
    <row r="32" spans="1:5" x14ac:dyDescent="0.25">
      <c r="A32" s="23">
        <v>4</v>
      </c>
      <c r="B32" s="23">
        <v>1</v>
      </c>
      <c r="C32" s="23">
        <v>31</v>
      </c>
      <c r="D32" s="23" t="s">
        <v>199</v>
      </c>
      <c r="E32" s="23" t="s">
        <v>96</v>
      </c>
    </row>
    <row r="33" spans="1:5" x14ac:dyDescent="0.25">
      <c r="A33" s="23">
        <v>4</v>
      </c>
      <c r="B33" s="23">
        <v>2</v>
      </c>
      <c r="C33" s="23">
        <v>32</v>
      </c>
      <c r="D33" s="23" t="s">
        <v>198</v>
      </c>
      <c r="E33" s="23" t="s">
        <v>102</v>
      </c>
    </row>
    <row r="34" spans="1:5" x14ac:dyDescent="0.25">
      <c r="A34" s="23">
        <v>4</v>
      </c>
      <c r="B34" s="23">
        <v>3</v>
      </c>
      <c r="C34" s="23">
        <v>33</v>
      </c>
      <c r="D34" s="23" t="s">
        <v>197</v>
      </c>
      <c r="E34" s="23" t="s">
        <v>31</v>
      </c>
    </row>
    <row r="35" spans="1:5" x14ac:dyDescent="0.25">
      <c r="A35" s="23">
        <v>4</v>
      </c>
      <c r="B35" s="23">
        <v>4</v>
      </c>
      <c r="C35" s="23">
        <v>34</v>
      </c>
      <c r="D35" s="23" t="s">
        <v>196</v>
      </c>
      <c r="E35" s="23" t="s">
        <v>110</v>
      </c>
    </row>
    <row r="36" spans="1:5" x14ac:dyDescent="0.25">
      <c r="A36" s="23">
        <v>4</v>
      </c>
      <c r="B36" s="23">
        <v>5</v>
      </c>
      <c r="C36" s="23">
        <v>35</v>
      </c>
      <c r="D36" s="23" t="s">
        <v>195</v>
      </c>
      <c r="E36" s="23" t="s">
        <v>101</v>
      </c>
    </row>
    <row r="37" spans="1:5" x14ac:dyDescent="0.25">
      <c r="A37" s="23">
        <v>4</v>
      </c>
      <c r="B37" s="23">
        <v>6</v>
      </c>
      <c r="C37" s="23">
        <v>36</v>
      </c>
      <c r="D37" s="23" t="s">
        <v>194</v>
      </c>
      <c r="E37" s="23" t="s">
        <v>115</v>
      </c>
    </row>
    <row r="38" spans="1:5" x14ac:dyDescent="0.25">
      <c r="A38" s="23">
        <v>4</v>
      </c>
      <c r="B38" s="23">
        <v>7</v>
      </c>
      <c r="C38" s="23">
        <v>37</v>
      </c>
      <c r="D38" s="23" t="s">
        <v>193</v>
      </c>
      <c r="E38" s="23" t="s">
        <v>106</v>
      </c>
    </row>
    <row r="39" spans="1:5" x14ac:dyDescent="0.25">
      <c r="A39" s="23">
        <v>4</v>
      </c>
      <c r="B39" s="23">
        <v>8</v>
      </c>
      <c r="C39" s="23">
        <v>38</v>
      </c>
      <c r="D39" s="23" t="s">
        <v>192</v>
      </c>
      <c r="E39" s="23" t="s">
        <v>34</v>
      </c>
    </row>
    <row r="40" spans="1:5" x14ac:dyDescent="0.25">
      <c r="A40" s="23">
        <v>4</v>
      </c>
      <c r="B40" s="23">
        <v>9</v>
      </c>
      <c r="C40" s="23">
        <v>39</v>
      </c>
      <c r="D40" s="23" t="s">
        <v>201</v>
      </c>
      <c r="E40" s="23" t="s">
        <v>95</v>
      </c>
    </row>
    <row r="41" spans="1:5" x14ac:dyDescent="0.25">
      <c r="A41" s="23">
        <v>4</v>
      </c>
      <c r="B41" s="23">
        <v>10</v>
      </c>
      <c r="C41" s="23">
        <v>40</v>
      </c>
      <c r="D41" s="23" t="s">
        <v>191</v>
      </c>
      <c r="E41" s="23" t="s">
        <v>105</v>
      </c>
    </row>
    <row r="42" spans="1:5" x14ac:dyDescent="0.25">
      <c r="A42" s="23">
        <v>5</v>
      </c>
      <c r="B42" s="23">
        <v>1</v>
      </c>
      <c r="C42" s="23">
        <v>41</v>
      </c>
      <c r="D42" s="23" t="s">
        <v>191</v>
      </c>
      <c r="E42" s="23" t="s">
        <v>104</v>
      </c>
    </row>
    <row r="43" spans="1:5" x14ac:dyDescent="0.25">
      <c r="A43" s="23">
        <v>5</v>
      </c>
      <c r="B43" s="23">
        <v>2</v>
      </c>
      <c r="C43" s="23">
        <v>42</v>
      </c>
      <c r="D43" s="23" t="s">
        <v>201</v>
      </c>
      <c r="E43" s="23" t="s">
        <v>111</v>
      </c>
    </row>
    <row r="44" spans="1:5" x14ac:dyDescent="0.25">
      <c r="A44" s="23">
        <v>5</v>
      </c>
      <c r="B44" s="23">
        <v>3</v>
      </c>
      <c r="C44" s="23">
        <v>43</v>
      </c>
      <c r="D44" s="23" t="s">
        <v>192</v>
      </c>
      <c r="E44" s="23" t="s">
        <v>113</v>
      </c>
    </row>
    <row r="45" spans="1:5" x14ac:dyDescent="0.25">
      <c r="A45" s="23">
        <v>5</v>
      </c>
      <c r="B45" s="23">
        <v>4</v>
      </c>
      <c r="C45" s="23">
        <v>44</v>
      </c>
      <c r="D45" s="23" t="s">
        <v>193</v>
      </c>
      <c r="E45" s="23" t="s">
        <v>107</v>
      </c>
    </row>
    <row r="46" spans="1:5" x14ac:dyDescent="0.25">
      <c r="A46" s="23">
        <v>5</v>
      </c>
      <c r="B46" s="23">
        <v>5</v>
      </c>
      <c r="C46" s="23">
        <v>45</v>
      </c>
      <c r="D46" s="23" t="s">
        <v>194</v>
      </c>
      <c r="E46" s="23" t="s">
        <v>108</v>
      </c>
    </row>
    <row r="47" spans="1:5" x14ac:dyDescent="0.25">
      <c r="A47" s="23">
        <v>5</v>
      </c>
      <c r="B47" s="23">
        <v>6</v>
      </c>
      <c r="C47" s="23">
        <v>46</v>
      </c>
      <c r="D47" s="23" t="s">
        <v>195</v>
      </c>
      <c r="E47" s="23" t="s">
        <v>117</v>
      </c>
    </row>
    <row r="48" spans="1:5" x14ac:dyDescent="0.25">
      <c r="A48" s="23">
        <v>5</v>
      </c>
      <c r="B48" s="23">
        <v>7</v>
      </c>
      <c r="C48" s="23">
        <v>47</v>
      </c>
      <c r="D48" s="23" t="s">
        <v>196</v>
      </c>
      <c r="E48" s="23" t="s">
        <v>69</v>
      </c>
    </row>
    <row r="49" spans="1:5" x14ac:dyDescent="0.25">
      <c r="A49" s="23">
        <v>5</v>
      </c>
      <c r="B49" s="23">
        <v>8</v>
      </c>
      <c r="C49" s="23">
        <v>48</v>
      </c>
      <c r="D49" s="23" t="s">
        <v>197</v>
      </c>
      <c r="E49" s="23" t="s">
        <v>112</v>
      </c>
    </row>
    <row r="50" spans="1:5" x14ac:dyDescent="0.25">
      <c r="A50" s="23">
        <v>5</v>
      </c>
      <c r="B50" s="23">
        <v>9</v>
      </c>
      <c r="C50" s="23">
        <v>49</v>
      </c>
      <c r="D50" s="23" t="s">
        <v>198</v>
      </c>
      <c r="E50" s="23" t="s">
        <v>142</v>
      </c>
    </row>
    <row r="51" spans="1:5" x14ac:dyDescent="0.25">
      <c r="A51" s="23">
        <v>5</v>
      </c>
      <c r="B51" s="23">
        <v>10</v>
      </c>
      <c r="C51" s="23">
        <v>50</v>
      </c>
      <c r="D51" s="23" t="s">
        <v>199</v>
      </c>
      <c r="E51" s="23" t="s">
        <v>103</v>
      </c>
    </row>
    <row r="52" spans="1:5" x14ac:dyDescent="0.25">
      <c r="A52" s="23">
        <v>6</v>
      </c>
      <c r="B52" s="23">
        <v>1</v>
      </c>
      <c r="C52" s="23">
        <v>51</v>
      </c>
      <c r="D52" s="23" t="s">
        <v>199</v>
      </c>
      <c r="E52" s="23" t="s">
        <v>200</v>
      </c>
    </row>
    <row r="53" spans="1:5" x14ac:dyDescent="0.25">
      <c r="A53" s="23">
        <v>6</v>
      </c>
      <c r="B53" s="23">
        <v>2</v>
      </c>
      <c r="C53" s="23">
        <v>52</v>
      </c>
      <c r="D53" s="23" t="s">
        <v>198</v>
      </c>
      <c r="E53" s="23" t="s">
        <v>36</v>
      </c>
    </row>
    <row r="54" spans="1:5" x14ac:dyDescent="0.25">
      <c r="A54" s="23">
        <v>6</v>
      </c>
      <c r="B54" s="23">
        <v>3</v>
      </c>
      <c r="C54" s="23">
        <v>53</v>
      </c>
      <c r="D54" s="23" t="s">
        <v>197</v>
      </c>
      <c r="E54" s="23" t="s">
        <v>119</v>
      </c>
    </row>
    <row r="55" spans="1:5" x14ac:dyDescent="0.25">
      <c r="A55" s="23">
        <v>6</v>
      </c>
      <c r="B55" s="23">
        <v>4</v>
      </c>
      <c r="C55" s="23">
        <v>54</v>
      </c>
      <c r="D55" s="23" t="s">
        <v>196</v>
      </c>
      <c r="E55" s="23" t="s">
        <v>109</v>
      </c>
    </row>
    <row r="56" spans="1:5" x14ac:dyDescent="0.25">
      <c r="A56" s="23">
        <v>6</v>
      </c>
      <c r="B56" s="23">
        <v>5</v>
      </c>
      <c r="C56" s="23">
        <v>55</v>
      </c>
      <c r="D56" s="23" t="s">
        <v>195</v>
      </c>
      <c r="E56" s="23" t="s">
        <v>118</v>
      </c>
    </row>
    <row r="57" spans="1:5" x14ac:dyDescent="0.25">
      <c r="A57" s="23">
        <v>6</v>
      </c>
      <c r="B57" s="23">
        <v>6</v>
      </c>
      <c r="C57" s="23">
        <v>56</v>
      </c>
      <c r="D57" s="23" t="s">
        <v>194</v>
      </c>
      <c r="E57" s="23" t="s">
        <v>41</v>
      </c>
    </row>
    <row r="58" spans="1:5" x14ac:dyDescent="0.25">
      <c r="A58" s="23">
        <v>6</v>
      </c>
      <c r="B58" s="23">
        <v>7</v>
      </c>
      <c r="C58" s="23">
        <v>57</v>
      </c>
      <c r="D58" s="23" t="s">
        <v>193</v>
      </c>
      <c r="E58" s="23" t="s">
        <v>70</v>
      </c>
    </row>
    <row r="59" spans="1:5" x14ac:dyDescent="0.25">
      <c r="A59" s="23">
        <v>6</v>
      </c>
      <c r="B59" s="23">
        <v>8</v>
      </c>
      <c r="C59" s="23">
        <v>58</v>
      </c>
      <c r="D59" s="23" t="s">
        <v>192</v>
      </c>
      <c r="E59" s="23" t="s">
        <v>37</v>
      </c>
    </row>
    <row r="60" spans="1:5" x14ac:dyDescent="0.25">
      <c r="A60" s="23">
        <v>6</v>
      </c>
      <c r="B60" s="23">
        <v>9</v>
      </c>
      <c r="C60" s="23">
        <v>59</v>
      </c>
      <c r="D60" s="23" t="s">
        <v>201</v>
      </c>
      <c r="E60" s="23" t="s">
        <v>114</v>
      </c>
    </row>
    <row r="61" spans="1:5" x14ac:dyDescent="0.25">
      <c r="A61" s="23">
        <v>6</v>
      </c>
      <c r="B61" s="23">
        <v>10</v>
      </c>
      <c r="C61" s="23">
        <v>60</v>
      </c>
      <c r="D61" s="23" t="s">
        <v>191</v>
      </c>
      <c r="E61" s="23" t="s">
        <v>116</v>
      </c>
    </row>
    <row r="62" spans="1:5" x14ac:dyDescent="0.25">
      <c r="A62" s="23">
        <v>7</v>
      </c>
      <c r="B62" s="23">
        <v>1</v>
      </c>
      <c r="C62" s="23">
        <v>61</v>
      </c>
      <c r="D62" s="23" t="s">
        <v>191</v>
      </c>
      <c r="E62" s="23" t="s">
        <v>131</v>
      </c>
    </row>
    <row r="63" spans="1:5" x14ac:dyDescent="0.25">
      <c r="A63" s="23">
        <v>7</v>
      </c>
      <c r="B63" s="23">
        <v>2</v>
      </c>
      <c r="C63" s="23">
        <v>62</v>
      </c>
      <c r="D63" s="23" t="s">
        <v>201</v>
      </c>
      <c r="E63" s="23" t="s">
        <v>122</v>
      </c>
    </row>
    <row r="64" spans="1:5" x14ac:dyDescent="0.25">
      <c r="A64" s="23">
        <v>7</v>
      </c>
      <c r="B64" s="23">
        <v>3</v>
      </c>
      <c r="C64" s="23">
        <v>63</v>
      </c>
      <c r="D64" s="23" t="s">
        <v>192</v>
      </c>
      <c r="E64" s="23" t="s">
        <v>40</v>
      </c>
    </row>
    <row r="65" spans="1:5" x14ac:dyDescent="0.25">
      <c r="A65" s="23">
        <v>7</v>
      </c>
      <c r="B65" s="23">
        <v>4</v>
      </c>
      <c r="C65" s="23">
        <v>64</v>
      </c>
      <c r="D65" s="23" t="s">
        <v>193</v>
      </c>
      <c r="E65" s="23" t="s">
        <v>126</v>
      </c>
    </row>
    <row r="66" spans="1:5" x14ac:dyDescent="0.25">
      <c r="A66" s="23">
        <v>7</v>
      </c>
      <c r="B66" s="23">
        <v>5</v>
      </c>
      <c r="C66" s="23">
        <v>65</v>
      </c>
      <c r="D66" s="23" t="s">
        <v>194</v>
      </c>
      <c r="E66" s="23" t="s">
        <v>66</v>
      </c>
    </row>
    <row r="67" spans="1:5" x14ac:dyDescent="0.25">
      <c r="A67" s="23">
        <v>7</v>
      </c>
      <c r="B67" s="23">
        <v>6</v>
      </c>
      <c r="C67" s="23">
        <v>66</v>
      </c>
      <c r="D67" s="23" t="s">
        <v>195</v>
      </c>
      <c r="E67" s="23" t="s">
        <v>67</v>
      </c>
    </row>
    <row r="68" spans="1:5" x14ac:dyDescent="0.25">
      <c r="A68" s="23">
        <v>7</v>
      </c>
      <c r="B68" s="23">
        <v>7</v>
      </c>
      <c r="C68" s="23">
        <v>67</v>
      </c>
      <c r="D68" s="23" t="s">
        <v>196</v>
      </c>
      <c r="E68" s="23" t="s">
        <v>125</v>
      </c>
    </row>
    <row r="69" spans="1:5" x14ac:dyDescent="0.25">
      <c r="A69" s="23">
        <v>7</v>
      </c>
      <c r="B69" s="23">
        <v>8</v>
      </c>
      <c r="C69" s="23">
        <v>68</v>
      </c>
      <c r="D69" s="23" t="s">
        <v>197</v>
      </c>
      <c r="E69" s="23" t="s">
        <v>127</v>
      </c>
    </row>
    <row r="70" spans="1:5" x14ac:dyDescent="0.25">
      <c r="A70" s="23">
        <v>7</v>
      </c>
      <c r="B70" s="23">
        <v>9</v>
      </c>
      <c r="C70" s="23">
        <v>69</v>
      </c>
      <c r="D70" s="23" t="s">
        <v>198</v>
      </c>
      <c r="E70" s="23" t="s">
        <v>123</v>
      </c>
    </row>
    <row r="71" spans="1:5" x14ac:dyDescent="0.25">
      <c r="A71" s="23">
        <v>7</v>
      </c>
      <c r="B71" s="23">
        <v>10</v>
      </c>
      <c r="C71" s="23">
        <v>70</v>
      </c>
      <c r="D71" s="23" t="s">
        <v>199</v>
      </c>
      <c r="E71" s="23" t="s">
        <v>76</v>
      </c>
    </row>
    <row r="72" spans="1:5" x14ac:dyDescent="0.25">
      <c r="A72" s="23">
        <v>8</v>
      </c>
      <c r="B72" s="23">
        <v>1</v>
      </c>
      <c r="C72" s="23">
        <v>71</v>
      </c>
      <c r="D72" s="23" t="s">
        <v>199</v>
      </c>
      <c r="E72" s="23" t="s">
        <v>129</v>
      </c>
    </row>
    <row r="73" spans="1:5" x14ac:dyDescent="0.25">
      <c r="A73" s="23">
        <v>8</v>
      </c>
      <c r="B73" s="23">
        <v>2</v>
      </c>
      <c r="C73" s="23">
        <v>72</v>
      </c>
      <c r="D73" s="23" t="s">
        <v>198</v>
      </c>
      <c r="E73" s="23" t="s">
        <v>124</v>
      </c>
    </row>
    <row r="74" spans="1:5" x14ac:dyDescent="0.25">
      <c r="A74" s="23">
        <v>8</v>
      </c>
      <c r="B74" s="23">
        <v>3</v>
      </c>
      <c r="C74" s="23">
        <v>73</v>
      </c>
      <c r="D74" s="23" t="s">
        <v>197</v>
      </c>
      <c r="E74" s="23" t="s">
        <v>137</v>
      </c>
    </row>
    <row r="75" spans="1:5" x14ac:dyDescent="0.25">
      <c r="A75" s="23">
        <v>8</v>
      </c>
      <c r="B75" s="23">
        <v>4</v>
      </c>
      <c r="C75" s="23">
        <v>74</v>
      </c>
      <c r="D75" s="23" t="s">
        <v>196</v>
      </c>
      <c r="E75" s="23" t="s">
        <v>135</v>
      </c>
    </row>
    <row r="76" spans="1:5" x14ac:dyDescent="0.25">
      <c r="A76" s="23">
        <v>8</v>
      </c>
      <c r="B76" s="23">
        <v>5</v>
      </c>
      <c r="C76" s="23">
        <v>75</v>
      </c>
      <c r="D76" s="23" t="s">
        <v>195</v>
      </c>
      <c r="E76" s="23" t="s">
        <v>68</v>
      </c>
    </row>
    <row r="77" spans="1:5" x14ac:dyDescent="0.25">
      <c r="A77" s="23">
        <v>8</v>
      </c>
      <c r="B77" s="23">
        <v>6</v>
      </c>
      <c r="C77" s="23">
        <v>76</v>
      </c>
      <c r="D77" s="23" t="s">
        <v>194</v>
      </c>
      <c r="E77" s="23" t="s">
        <v>130</v>
      </c>
    </row>
    <row r="78" spans="1:5" x14ac:dyDescent="0.25">
      <c r="A78" s="23">
        <v>8</v>
      </c>
      <c r="B78" s="23">
        <v>7</v>
      </c>
      <c r="C78" s="23">
        <v>77</v>
      </c>
      <c r="D78" s="23" t="s">
        <v>193</v>
      </c>
      <c r="E78" s="23" t="s">
        <v>132</v>
      </c>
    </row>
    <row r="79" spans="1:5" x14ac:dyDescent="0.25">
      <c r="A79" s="23">
        <v>8</v>
      </c>
      <c r="B79" s="23">
        <v>8</v>
      </c>
      <c r="C79" s="23">
        <v>78</v>
      </c>
      <c r="D79" s="23" t="s">
        <v>192</v>
      </c>
      <c r="E79" s="23" t="s">
        <v>136</v>
      </c>
    </row>
    <row r="80" spans="1:5" x14ac:dyDescent="0.25">
      <c r="A80" s="23">
        <v>8</v>
      </c>
      <c r="B80" s="23">
        <v>9</v>
      </c>
      <c r="C80" s="23">
        <v>79</v>
      </c>
      <c r="D80" s="23" t="s">
        <v>201</v>
      </c>
      <c r="E80" s="23" t="s">
        <v>145</v>
      </c>
    </row>
    <row r="81" spans="1:5" x14ac:dyDescent="0.25">
      <c r="A81" s="23">
        <v>8</v>
      </c>
      <c r="B81" s="23">
        <v>10</v>
      </c>
      <c r="C81" s="23">
        <v>80</v>
      </c>
      <c r="D81" s="23" t="s">
        <v>191</v>
      </c>
      <c r="E81" s="23" t="s">
        <v>149</v>
      </c>
    </row>
    <row r="82" spans="1:5" x14ac:dyDescent="0.25">
      <c r="A82" s="23">
        <v>9</v>
      </c>
      <c r="B82" s="23">
        <v>1</v>
      </c>
      <c r="C82" s="23">
        <v>81</v>
      </c>
      <c r="D82" s="23" t="s">
        <v>191</v>
      </c>
      <c r="E82" s="23" t="s">
        <v>148</v>
      </c>
    </row>
    <row r="83" spans="1:5" x14ac:dyDescent="0.25">
      <c r="A83" s="23">
        <v>9</v>
      </c>
      <c r="B83" s="23">
        <v>2</v>
      </c>
      <c r="C83" s="23">
        <v>82</v>
      </c>
      <c r="D83" s="23" t="s">
        <v>201</v>
      </c>
      <c r="E83" s="23" t="s">
        <v>141</v>
      </c>
    </row>
    <row r="84" spans="1:5" x14ac:dyDescent="0.25">
      <c r="A84" s="23">
        <v>9</v>
      </c>
      <c r="B84" s="23">
        <v>3</v>
      </c>
      <c r="C84" s="23">
        <v>83</v>
      </c>
      <c r="D84" s="23" t="s">
        <v>192</v>
      </c>
      <c r="E84" s="23" t="s">
        <v>138</v>
      </c>
    </row>
    <row r="85" spans="1:5" x14ac:dyDescent="0.25">
      <c r="A85" s="23">
        <v>9</v>
      </c>
      <c r="B85" s="23">
        <v>4</v>
      </c>
      <c r="C85" s="23">
        <v>84</v>
      </c>
      <c r="D85" s="23" t="s">
        <v>193</v>
      </c>
      <c r="E85" s="23" t="s">
        <v>143</v>
      </c>
    </row>
    <row r="86" spans="1:5" x14ac:dyDescent="0.25">
      <c r="A86" s="23">
        <v>9</v>
      </c>
      <c r="B86" s="23">
        <v>5</v>
      </c>
      <c r="C86" s="23">
        <v>85</v>
      </c>
      <c r="D86" s="23" t="s">
        <v>194</v>
      </c>
      <c r="E86" s="23" t="s">
        <v>146</v>
      </c>
    </row>
    <row r="87" spans="1:5" x14ac:dyDescent="0.25">
      <c r="A87" s="23">
        <v>9</v>
      </c>
      <c r="B87" s="23">
        <v>6</v>
      </c>
      <c r="C87" s="23">
        <v>86</v>
      </c>
      <c r="D87" s="23" t="s">
        <v>195</v>
      </c>
      <c r="E87" s="23" t="s">
        <v>139</v>
      </c>
    </row>
    <row r="88" spans="1:5" x14ac:dyDescent="0.25">
      <c r="A88" s="23">
        <v>9</v>
      </c>
      <c r="B88" s="23">
        <v>7</v>
      </c>
      <c r="C88" s="23">
        <v>87</v>
      </c>
      <c r="D88" s="23" t="s">
        <v>196</v>
      </c>
      <c r="E88" s="23" t="s">
        <v>133</v>
      </c>
    </row>
    <row r="89" spans="1:5" x14ac:dyDescent="0.25">
      <c r="A89" s="23">
        <v>9</v>
      </c>
      <c r="B89" s="23">
        <v>8</v>
      </c>
      <c r="C89" s="23">
        <v>88</v>
      </c>
      <c r="D89" s="23" t="s">
        <v>197</v>
      </c>
      <c r="E89" s="23" t="s">
        <v>134</v>
      </c>
    </row>
    <row r="90" spans="1:5" x14ac:dyDescent="0.25">
      <c r="A90" s="23">
        <v>9</v>
      </c>
      <c r="B90" s="23">
        <v>9</v>
      </c>
      <c r="C90" s="23">
        <v>89</v>
      </c>
      <c r="D90" s="23" t="s">
        <v>198</v>
      </c>
      <c r="E90" s="23" t="s">
        <v>140</v>
      </c>
    </row>
    <row r="91" spans="1:5" x14ac:dyDescent="0.25">
      <c r="A91" s="23">
        <v>9</v>
      </c>
      <c r="B91" s="23">
        <v>10</v>
      </c>
      <c r="C91" s="23">
        <v>90</v>
      </c>
      <c r="D91" s="23" t="s">
        <v>199</v>
      </c>
      <c r="E91" s="23" t="s">
        <v>128</v>
      </c>
    </row>
    <row r="92" spans="1:5" x14ac:dyDescent="0.25">
      <c r="A92" s="23">
        <v>10</v>
      </c>
      <c r="B92" s="23">
        <v>1</v>
      </c>
      <c r="C92" s="23">
        <v>91</v>
      </c>
      <c r="D92" s="23" t="s">
        <v>199</v>
      </c>
      <c r="E92" s="23" t="s">
        <v>121</v>
      </c>
    </row>
    <row r="93" spans="1:5" x14ac:dyDescent="0.25">
      <c r="A93" s="16"/>
      <c r="B93" s="16"/>
      <c r="C93" s="16"/>
      <c r="D93" s="16"/>
      <c r="E93" s="16"/>
    </row>
    <row r="94" spans="1:5" x14ac:dyDescent="0.25">
      <c r="A94" s="16"/>
      <c r="B94" s="16"/>
      <c r="C94" s="16"/>
      <c r="D94" s="16"/>
      <c r="E94" s="16"/>
    </row>
    <row r="95" spans="1:5" x14ac:dyDescent="0.25">
      <c r="A95" s="16"/>
      <c r="B95" s="16"/>
      <c r="C95" s="16"/>
      <c r="D95" s="16"/>
      <c r="E95" s="16"/>
    </row>
    <row r="96" spans="1:5" x14ac:dyDescent="0.25">
      <c r="A96" s="16"/>
      <c r="B96" s="16"/>
      <c r="C96" s="16"/>
      <c r="D96" s="16"/>
      <c r="E96" s="16"/>
    </row>
    <row r="99" spans="1:5" x14ac:dyDescent="0.25">
      <c r="A99" s="7"/>
      <c r="B99" s="7"/>
      <c r="C99" s="7"/>
      <c r="D99" s="8"/>
      <c r="E99" s="8"/>
    </row>
    <row r="100" spans="1:5" x14ac:dyDescent="0.25">
      <c r="A100" s="7"/>
      <c r="B100" s="7"/>
      <c r="C100" s="7"/>
      <c r="D100" s="8"/>
      <c r="E100" s="8"/>
    </row>
    <row r="101" spans="1:5" x14ac:dyDescent="0.25">
      <c r="A101" s="7"/>
      <c r="B101" s="7"/>
      <c r="C101" s="7"/>
      <c r="D101" s="8"/>
      <c r="E101" s="8"/>
    </row>
    <row r="102" spans="1:5" x14ac:dyDescent="0.25">
      <c r="A102" s="7"/>
      <c r="B102" s="7"/>
      <c r="C102" s="7"/>
      <c r="D102" s="8"/>
      <c r="E102" s="8"/>
    </row>
    <row r="103" spans="1:5" x14ac:dyDescent="0.25">
      <c r="A103" s="7"/>
      <c r="B103" s="7"/>
      <c r="C103" s="7"/>
      <c r="D103" s="8"/>
      <c r="E103" s="8"/>
    </row>
    <row r="104" spans="1:5" x14ac:dyDescent="0.25">
      <c r="A104" s="7"/>
      <c r="B104" s="7"/>
      <c r="C104" s="7"/>
      <c r="D104" s="8"/>
      <c r="E104" s="8"/>
    </row>
    <row r="105" spans="1:5" x14ac:dyDescent="0.25">
      <c r="A105" s="7"/>
      <c r="B105" s="7"/>
      <c r="C105" s="7"/>
      <c r="D105" s="8"/>
      <c r="E105" s="8"/>
    </row>
    <row r="106" spans="1:5" x14ac:dyDescent="0.25">
      <c r="A106" s="7"/>
      <c r="B106" s="7"/>
      <c r="C106" s="7"/>
      <c r="D106" s="8"/>
      <c r="E106" s="8"/>
    </row>
    <row r="107" spans="1:5" x14ac:dyDescent="0.25">
      <c r="A107" s="7"/>
      <c r="B107" s="7"/>
      <c r="C107" s="7"/>
      <c r="D107" s="8"/>
      <c r="E107" s="8"/>
    </row>
    <row r="108" spans="1:5" x14ac:dyDescent="0.25">
      <c r="A108" s="7"/>
      <c r="B108" s="7"/>
      <c r="C108" s="7"/>
      <c r="D108" s="8"/>
      <c r="E108" s="8"/>
    </row>
    <row r="109" spans="1:5" x14ac:dyDescent="0.25">
      <c r="A109" s="7"/>
      <c r="B109" s="7"/>
      <c r="C109" s="7"/>
      <c r="D109" s="8"/>
      <c r="E109" s="8"/>
    </row>
    <row r="110" spans="1:5" x14ac:dyDescent="0.25">
      <c r="A110" s="7"/>
      <c r="B110" s="7"/>
      <c r="C110" s="7"/>
      <c r="D110" s="8"/>
      <c r="E110" s="8"/>
    </row>
    <row r="111" spans="1:5" x14ac:dyDescent="0.25">
      <c r="A111" s="7"/>
      <c r="B111" s="7"/>
      <c r="C111" s="7"/>
      <c r="D111" s="8"/>
      <c r="E111" s="8"/>
    </row>
    <row r="112" spans="1:5" x14ac:dyDescent="0.25">
      <c r="A112" s="7"/>
      <c r="B112" s="7"/>
      <c r="C112" s="7"/>
      <c r="D112" s="8"/>
      <c r="E112" s="8"/>
    </row>
    <row r="113" spans="1:5" x14ac:dyDescent="0.25">
      <c r="A113" s="7"/>
      <c r="B113" s="7"/>
      <c r="C113" s="7"/>
      <c r="D113" s="8"/>
      <c r="E113" s="8"/>
    </row>
    <row r="114" spans="1:5" x14ac:dyDescent="0.25">
      <c r="A114" s="7"/>
      <c r="B114" s="7"/>
      <c r="C114" s="7"/>
      <c r="D114" s="8"/>
      <c r="E114" s="8"/>
    </row>
    <row r="115" spans="1:5" x14ac:dyDescent="0.25">
      <c r="A115" s="7"/>
      <c r="B115" s="7"/>
      <c r="C115" s="7"/>
      <c r="D115" s="8"/>
      <c r="E115" s="8"/>
    </row>
    <row r="116" spans="1:5" x14ac:dyDescent="0.25">
      <c r="A116" s="7"/>
      <c r="B116" s="7"/>
      <c r="C116" s="7"/>
      <c r="D116" s="8"/>
      <c r="E116" s="8"/>
    </row>
    <row r="117" spans="1:5" x14ac:dyDescent="0.25">
      <c r="A117" s="7"/>
      <c r="B117" s="7"/>
      <c r="C117" s="7"/>
      <c r="D117" s="8"/>
      <c r="E117" s="8"/>
    </row>
    <row r="118" spans="1:5" x14ac:dyDescent="0.25">
      <c r="A118" s="7"/>
      <c r="B118" s="7"/>
      <c r="C118" s="7"/>
      <c r="D118" s="8"/>
      <c r="E118" s="8"/>
    </row>
    <row r="119" spans="1:5" x14ac:dyDescent="0.25">
      <c r="A119" s="7"/>
      <c r="B119" s="7"/>
      <c r="C119" s="7"/>
      <c r="D119" s="8"/>
      <c r="E119" s="8"/>
    </row>
    <row r="120" spans="1:5" x14ac:dyDescent="0.25">
      <c r="A120" s="7"/>
      <c r="B120" s="7"/>
      <c r="C120" s="7"/>
      <c r="D120" s="8"/>
      <c r="E120" s="8"/>
    </row>
    <row r="121" spans="1:5" x14ac:dyDescent="0.25">
      <c r="A121" s="7"/>
      <c r="B121" s="7"/>
      <c r="C121" s="7"/>
      <c r="D121" s="8"/>
      <c r="E121" s="8"/>
    </row>
    <row r="122" spans="1:5" x14ac:dyDescent="0.25">
      <c r="A122" s="7"/>
      <c r="B122" s="7"/>
      <c r="C122" s="7"/>
      <c r="D122" s="8"/>
      <c r="E122" s="8"/>
    </row>
    <row r="123" spans="1:5" x14ac:dyDescent="0.25">
      <c r="A123" s="7"/>
      <c r="B123" s="7"/>
      <c r="C123" s="7"/>
      <c r="D123" s="8"/>
      <c r="E123" s="8"/>
    </row>
    <row r="124" spans="1:5" x14ac:dyDescent="0.25">
      <c r="A124" s="7"/>
      <c r="B124" s="7"/>
      <c r="C124" s="7"/>
      <c r="D124" s="8"/>
      <c r="E124" s="8"/>
    </row>
    <row r="125" spans="1:5" x14ac:dyDescent="0.25">
      <c r="A125" s="7"/>
      <c r="B125" s="7"/>
      <c r="C125" s="7"/>
      <c r="D125" s="8"/>
      <c r="E125" s="8"/>
    </row>
    <row r="126" spans="1:5" x14ac:dyDescent="0.25">
      <c r="A126" s="7"/>
      <c r="B126" s="7"/>
      <c r="C126" s="7"/>
      <c r="D126" s="8"/>
      <c r="E126" s="8"/>
    </row>
    <row r="127" spans="1:5" x14ac:dyDescent="0.25">
      <c r="A127" s="7"/>
      <c r="B127" s="7"/>
      <c r="C127" s="7"/>
      <c r="D127" s="8"/>
      <c r="E127" s="8"/>
    </row>
    <row r="128" spans="1:5" x14ac:dyDescent="0.25">
      <c r="A128" s="7"/>
      <c r="B128" s="7"/>
      <c r="C128" s="7"/>
      <c r="D128" s="8"/>
      <c r="E128" s="8"/>
    </row>
    <row r="129" spans="1:5" x14ac:dyDescent="0.25">
      <c r="A129" s="7"/>
      <c r="B129" s="7"/>
      <c r="C129" s="7"/>
      <c r="D129" s="8"/>
      <c r="E129" s="8"/>
    </row>
    <row r="130" spans="1:5" x14ac:dyDescent="0.25">
      <c r="A130" s="7"/>
      <c r="B130" s="7"/>
      <c r="C130" s="7"/>
      <c r="D130" s="8"/>
      <c r="E130" s="8"/>
    </row>
    <row r="131" spans="1:5" x14ac:dyDescent="0.25">
      <c r="A131" s="7"/>
      <c r="B131" s="7"/>
      <c r="C131" s="7"/>
      <c r="D131" s="8"/>
      <c r="E131" s="8"/>
    </row>
    <row r="132" spans="1:5" x14ac:dyDescent="0.25">
      <c r="A132" s="7"/>
      <c r="B132" s="7"/>
      <c r="C132" s="7"/>
      <c r="D132" s="8"/>
      <c r="E132" s="8"/>
    </row>
    <row r="133" spans="1:5" x14ac:dyDescent="0.25">
      <c r="A133" s="7"/>
      <c r="B133" s="7"/>
      <c r="C133" s="7"/>
      <c r="D133" s="8"/>
      <c r="E133" s="8"/>
    </row>
    <row r="134" spans="1:5" x14ac:dyDescent="0.25">
      <c r="A134" s="7"/>
      <c r="B134" s="7"/>
      <c r="C134" s="7"/>
      <c r="D134" s="8"/>
      <c r="E134" s="8"/>
    </row>
    <row r="135" spans="1:5" x14ac:dyDescent="0.25">
      <c r="A135" s="7"/>
      <c r="B135" s="7"/>
      <c r="C135" s="7"/>
      <c r="D135" s="8"/>
      <c r="E135" s="8"/>
    </row>
    <row r="136" spans="1:5" x14ac:dyDescent="0.25">
      <c r="A136" s="7"/>
      <c r="B136" s="7"/>
      <c r="C136" s="7"/>
      <c r="D136" s="8"/>
      <c r="E136" s="8"/>
    </row>
    <row r="137" spans="1:5" x14ac:dyDescent="0.25">
      <c r="A137" s="7"/>
      <c r="B137" s="7"/>
      <c r="C137" s="7"/>
      <c r="D137" s="8"/>
      <c r="E137" s="8"/>
    </row>
    <row r="138" spans="1:5" x14ac:dyDescent="0.25">
      <c r="A138" s="7"/>
      <c r="B138" s="7"/>
      <c r="C138" s="7"/>
      <c r="D138" s="8"/>
      <c r="E138" s="8"/>
    </row>
    <row r="139" spans="1:5" x14ac:dyDescent="0.25">
      <c r="A139" s="7"/>
      <c r="B139" s="7"/>
      <c r="C139" s="7"/>
      <c r="D139" s="8"/>
      <c r="E139" s="8"/>
    </row>
    <row r="140" spans="1:5" x14ac:dyDescent="0.25">
      <c r="A140" s="7"/>
      <c r="B140" s="7"/>
      <c r="C140" s="7"/>
      <c r="D140" s="8"/>
      <c r="E140" s="8"/>
    </row>
    <row r="141" spans="1:5" x14ac:dyDescent="0.25">
      <c r="A141" s="7"/>
      <c r="B141" s="7"/>
      <c r="C141" s="7"/>
      <c r="D141" s="8"/>
      <c r="E141" s="8"/>
    </row>
    <row r="142" spans="1:5" x14ac:dyDescent="0.25">
      <c r="A142" s="7"/>
      <c r="B142" s="7"/>
      <c r="C142" s="7"/>
      <c r="D142" s="8"/>
      <c r="E142" s="8"/>
    </row>
    <row r="143" spans="1:5" x14ac:dyDescent="0.25">
      <c r="A143" s="7"/>
      <c r="B143" s="7"/>
      <c r="C143" s="7"/>
      <c r="D143" s="8"/>
      <c r="E143" s="8"/>
    </row>
    <row r="144" spans="1:5" x14ac:dyDescent="0.25">
      <c r="A144" s="7"/>
      <c r="B144" s="7"/>
      <c r="C144" s="7"/>
      <c r="D144" s="8"/>
      <c r="E144" s="8"/>
    </row>
    <row r="145" spans="1:5" x14ac:dyDescent="0.25">
      <c r="A145" s="7"/>
      <c r="B145" s="7"/>
      <c r="C145" s="7"/>
      <c r="D145" s="8"/>
      <c r="E145" s="8"/>
    </row>
    <row r="146" spans="1:5" x14ac:dyDescent="0.25">
      <c r="A146" s="7"/>
      <c r="B146" s="7"/>
      <c r="C146" s="7"/>
      <c r="D146" s="8"/>
      <c r="E146" s="8"/>
    </row>
    <row r="147" spans="1:5" x14ac:dyDescent="0.25">
      <c r="A147" s="7"/>
      <c r="B147" s="7"/>
      <c r="C147" s="7"/>
      <c r="D147" s="8"/>
      <c r="E147" s="8"/>
    </row>
    <row r="148" spans="1:5" x14ac:dyDescent="0.25">
      <c r="A148" s="7"/>
      <c r="B148" s="7"/>
      <c r="C148" s="7"/>
      <c r="D148" s="8"/>
      <c r="E148" s="8"/>
    </row>
    <row r="149" spans="1:5" x14ac:dyDescent="0.25">
      <c r="A149" s="7"/>
      <c r="B149" s="7"/>
      <c r="C149" s="7"/>
      <c r="D149" s="8"/>
      <c r="E149" s="8"/>
    </row>
    <row r="150" spans="1:5" x14ac:dyDescent="0.25">
      <c r="A150" s="7"/>
      <c r="B150" s="7"/>
      <c r="C150" s="7"/>
      <c r="D150" s="8"/>
      <c r="E150" s="8"/>
    </row>
    <row r="151" spans="1:5" x14ac:dyDescent="0.25">
      <c r="A151" s="7"/>
      <c r="B151" s="7"/>
      <c r="C151" s="7"/>
      <c r="D151" s="8"/>
      <c r="E151" s="8"/>
    </row>
    <row r="152" spans="1:5" x14ac:dyDescent="0.25">
      <c r="A152" s="7"/>
      <c r="B152" s="7"/>
      <c r="C152" s="7"/>
      <c r="D152" s="8"/>
      <c r="E152" s="8"/>
    </row>
    <row r="153" spans="1:5" x14ac:dyDescent="0.25">
      <c r="A153" s="7"/>
      <c r="B153" s="7"/>
      <c r="C153" s="7"/>
      <c r="D153" s="8"/>
      <c r="E153" s="8"/>
    </row>
    <row r="154" spans="1:5" x14ac:dyDescent="0.25">
      <c r="A154" s="7"/>
      <c r="B154" s="7"/>
      <c r="C154" s="7"/>
      <c r="D154" s="8"/>
      <c r="E154" s="8"/>
    </row>
    <row r="155" spans="1:5" x14ac:dyDescent="0.25">
      <c r="A155" s="7"/>
      <c r="B155" s="7"/>
      <c r="C155" s="7"/>
      <c r="D155" s="8"/>
      <c r="E155" s="8"/>
    </row>
    <row r="156" spans="1:5" x14ac:dyDescent="0.25">
      <c r="A156" s="7"/>
      <c r="B156" s="7"/>
      <c r="C156" s="7"/>
      <c r="D156" s="8"/>
      <c r="E156" s="8"/>
    </row>
    <row r="157" spans="1:5" x14ac:dyDescent="0.25">
      <c r="A157" s="7"/>
      <c r="B157" s="7"/>
      <c r="C157" s="7"/>
      <c r="D157" s="8"/>
      <c r="E157" s="8"/>
    </row>
    <row r="158" spans="1:5" x14ac:dyDescent="0.25">
      <c r="A158" s="7"/>
      <c r="B158" s="7"/>
      <c r="C158" s="7"/>
      <c r="D158" s="8"/>
      <c r="E158" s="8"/>
    </row>
    <row r="159" spans="1:5" x14ac:dyDescent="0.25">
      <c r="A159" s="7"/>
      <c r="B159" s="7"/>
      <c r="C159" s="7"/>
      <c r="D159" s="8"/>
      <c r="E159" s="8"/>
    </row>
    <row r="160" spans="1:5" x14ac:dyDescent="0.25">
      <c r="A160" s="7"/>
      <c r="B160" s="7"/>
      <c r="C160" s="7"/>
      <c r="D160" s="8"/>
      <c r="E160" s="8"/>
    </row>
    <row r="161" spans="1:5" x14ac:dyDescent="0.25">
      <c r="A161" s="7"/>
      <c r="B161" s="7"/>
      <c r="C161" s="7"/>
      <c r="D161" s="8"/>
      <c r="E161" s="8"/>
    </row>
    <row r="162" spans="1:5" x14ac:dyDescent="0.25">
      <c r="A162" s="7"/>
      <c r="B162" s="7"/>
      <c r="C162" s="7"/>
      <c r="D162" s="8"/>
      <c r="E162" s="8"/>
    </row>
    <row r="163" spans="1:5" x14ac:dyDescent="0.25">
      <c r="A163" s="7"/>
      <c r="B163" s="7"/>
      <c r="C163" s="7"/>
      <c r="D163" s="8"/>
      <c r="E163" s="8"/>
    </row>
    <row r="164" spans="1:5" x14ac:dyDescent="0.25">
      <c r="A164" s="7"/>
      <c r="B164" s="7"/>
      <c r="C164" s="7"/>
      <c r="D164" s="8"/>
      <c r="E164" s="8"/>
    </row>
    <row r="165" spans="1:5" x14ac:dyDescent="0.25">
      <c r="A165" s="7"/>
      <c r="B165" s="7"/>
      <c r="C165" s="7"/>
      <c r="D165" s="8"/>
      <c r="E165" s="8"/>
    </row>
    <row r="166" spans="1:5" x14ac:dyDescent="0.25">
      <c r="A166" s="7"/>
      <c r="B166" s="7"/>
      <c r="C166" s="7"/>
      <c r="D166" s="8"/>
      <c r="E166" s="8"/>
    </row>
    <row r="167" spans="1:5" x14ac:dyDescent="0.25">
      <c r="A167" s="7"/>
      <c r="B167" s="7"/>
      <c r="C167" s="7"/>
      <c r="D167" s="8"/>
      <c r="E167" s="8"/>
    </row>
    <row r="168" spans="1:5" x14ac:dyDescent="0.25">
      <c r="A168" s="7"/>
      <c r="B168" s="7"/>
      <c r="C168" s="7"/>
      <c r="D168" s="8"/>
      <c r="E168" s="8"/>
    </row>
    <row r="169" spans="1:5" x14ac:dyDescent="0.25">
      <c r="A169" s="7"/>
      <c r="B169" s="7"/>
      <c r="C169" s="7"/>
      <c r="D169" s="8"/>
      <c r="E169" s="8"/>
    </row>
    <row r="170" spans="1:5" x14ac:dyDescent="0.25">
      <c r="A170" s="7"/>
      <c r="B170" s="7"/>
      <c r="C170" s="7"/>
      <c r="D170" s="8"/>
      <c r="E170" s="8"/>
    </row>
    <row r="171" spans="1:5" x14ac:dyDescent="0.25">
      <c r="A171" s="7"/>
      <c r="B171" s="7"/>
      <c r="C171" s="7"/>
      <c r="D171" s="8"/>
      <c r="E171" s="8"/>
    </row>
    <row r="172" spans="1:5" x14ac:dyDescent="0.25">
      <c r="A172" s="7"/>
      <c r="B172" s="7"/>
      <c r="C172" s="7"/>
      <c r="D172" s="8"/>
      <c r="E172" s="8"/>
    </row>
    <row r="173" spans="1:5" x14ac:dyDescent="0.25">
      <c r="A173" s="7"/>
      <c r="B173" s="7"/>
      <c r="C173" s="7"/>
      <c r="D173" s="8"/>
      <c r="E173" s="8"/>
    </row>
    <row r="174" spans="1:5" x14ac:dyDescent="0.25">
      <c r="A174" s="7"/>
      <c r="B174" s="7"/>
      <c r="C174" s="7"/>
      <c r="D174" s="8"/>
      <c r="E174" s="8"/>
    </row>
    <row r="175" spans="1:5" x14ac:dyDescent="0.25">
      <c r="A175" s="7"/>
      <c r="B175" s="7"/>
      <c r="C175" s="7"/>
      <c r="D175" s="8"/>
      <c r="E175" s="8"/>
    </row>
    <row r="176" spans="1:5" x14ac:dyDescent="0.25">
      <c r="A176" s="7"/>
      <c r="B176" s="7"/>
      <c r="C176" s="7"/>
      <c r="D176" s="8"/>
      <c r="E176" s="8"/>
    </row>
    <row r="177" spans="1:5" x14ac:dyDescent="0.25">
      <c r="A177" s="7"/>
      <c r="B177" s="7"/>
      <c r="C177" s="7"/>
      <c r="D177" s="8"/>
      <c r="E177" s="8"/>
    </row>
    <row r="178" spans="1:5" x14ac:dyDescent="0.25">
      <c r="A178" s="7"/>
      <c r="B178" s="7"/>
      <c r="C178" s="7"/>
      <c r="D178" s="8"/>
      <c r="E178" s="8"/>
    </row>
    <row r="179" spans="1:5" x14ac:dyDescent="0.25">
      <c r="A179" s="7"/>
      <c r="B179" s="7"/>
      <c r="C179" s="7"/>
      <c r="D179" s="8"/>
      <c r="E179" s="8"/>
    </row>
    <row r="180" spans="1:5" x14ac:dyDescent="0.25">
      <c r="A180" s="7"/>
      <c r="B180" s="7"/>
      <c r="C180" s="7"/>
      <c r="D180" s="8"/>
      <c r="E180" s="8"/>
    </row>
    <row r="181" spans="1:5" x14ac:dyDescent="0.25">
      <c r="A181" s="7"/>
      <c r="B181" s="7"/>
      <c r="C181" s="7"/>
      <c r="D181" s="8"/>
      <c r="E181" s="8"/>
    </row>
    <row r="182" spans="1:5" x14ac:dyDescent="0.25">
      <c r="A182" s="7"/>
      <c r="B182" s="7"/>
      <c r="C182" s="7"/>
      <c r="D182" s="8"/>
      <c r="E182" s="8"/>
    </row>
    <row r="183" spans="1:5" x14ac:dyDescent="0.25">
      <c r="A183" s="7"/>
      <c r="B183" s="7"/>
      <c r="C183" s="7"/>
      <c r="D183" s="8"/>
      <c r="E183" s="8"/>
    </row>
    <row r="184" spans="1:5" x14ac:dyDescent="0.25">
      <c r="A184" s="7"/>
      <c r="B184" s="7"/>
      <c r="C184" s="7"/>
      <c r="D184" s="8"/>
      <c r="E184" s="8"/>
    </row>
    <row r="185" spans="1:5" x14ac:dyDescent="0.25">
      <c r="A185" s="7"/>
      <c r="B185" s="7"/>
      <c r="C185" s="7"/>
      <c r="D185" s="8"/>
      <c r="E185" s="8"/>
    </row>
    <row r="186" spans="1:5" x14ac:dyDescent="0.25">
      <c r="A186" s="7"/>
      <c r="B186" s="7"/>
      <c r="C186" s="7"/>
      <c r="D186" s="8"/>
      <c r="E186" s="8"/>
    </row>
    <row r="187" spans="1:5" x14ac:dyDescent="0.25">
      <c r="A187" s="7"/>
      <c r="B187" s="7"/>
      <c r="C187" s="7"/>
      <c r="D187" s="8"/>
      <c r="E187" s="8"/>
    </row>
    <row r="188" spans="1:5" x14ac:dyDescent="0.25">
      <c r="A188" s="7"/>
      <c r="B188" s="7"/>
      <c r="C188" s="7"/>
      <c r="D188" s="8"/>
      <c r="E188" s="8"/>
    </row>
    <row r="189" spans="1:5" x14ac:dyDescent="0.25">
      <c r="A189" s="7"/>
      <c r="B189" s="7"/>
      <c r="C189" s="7"/>
      <c r="D189" s="8"/>
      <c r="E189" s="8"/>
    </row>
    <row r="190" spans="1:5" x14ac:dyDescent="0.25">
      <c r="A190" s="7"/>
      <c r="B190" s="7"/>
      <c r="C190" s="7"/>
      <c r="D190" s="8"/>
      <c r="E190" s="8"/>
    </row>
    <row r="191" spans="1:5" x14ac:dyDescent="0.25">
      <c r="A191" s="7"/>
      <c r="B191" s="7"/>
      <c r="C191" s="7"/>
      <c r="D191" s="8"/>
      <c r="E191" s="8"/>
    </row>
    <row r="192" spans="1:5" x14ac:dyDescent="0.25">
      <c r="A192" s="7"/>
      <c r="B192" s="7"/>
      <c r="C192" s="7"/>
      <c r="D192" s="8"/>
      <c r="E192" s="8"/>
    </row>
    <row r="193" spans="1:5" x14ac:dyDescent="0.25">
      <c r="A193" s="7"/>
      <c r="B193" s="7"/>
      <c r="C193" s="7"/>
      <c r="D193" s="8"/>
      <c r="E193" s="8"/>
    </row>
    <row r="194" spans="1:5" x14ac:dyDescent="0.25">
      <c r="A194" s="7"/>
      <c r="B194" s="7"/>
      <c r="C194" s="7"/>
      <c r="D194" s="8"/>
      <c r="E194" s="8"/>
    </row>
    <row r="195" spans="1:5" x14ac:dyDescent="0.25">
      <c r="A195" s="7"/>
      <c r="B195" s="7"/>
      <c r="C195" s="7"/>
      <c r="D195" s="8"/>
      <c r="E195" s="8"/>
    </row>
    <row r="196" spans="1:5" x14ac:dyDescent="0.25">
      <c r="A196" s="7"/>
      <c r="B196" s="7"/>
      <c r="C196" s="7"/>
      <c r="D196" s="8"/>
      <c r="E196" s="8"/>
    </row>
    <row r="197" spans="1:5" x14ac:dyDescent="0.25">
      <c r="A197" s="7"/>
      <c r="B197" s="7"/>
      <c r="C197" s="7"/>
      <c r="D197" s="8"/>
      <c r="E197" s="8"/>
    </row>
    <row r="198" spans="1:5" x14ac:dyDescent="0.25">
      <c r="A198" s="7"/>
      <c r="B198" s="7"/>
      <c r="C198" s="7"/>
      <c r="D198" s="8"/>
      <c r="E198" s="8"/>
    </row>
    <row r="199" spans="1:5" x14ac:dyDescent="0.25">
      <c r="A199" s="7"/>
      <c r="B199" s="7"/>
      <c r="C199" s="7"/>
      <c r="D199" s="8"/>
      <c r="E199" s="8"/>
    </row>
    <row r="200" spans="1:5" x14ac:dyDescent="0.25">
      <c r="A200" s="7"/>
      <c r="B200" s="7"/>
      <c r="C200" s="7"/>
      <c r="D200" s="8"/>
      <c r="E200" s="8"/>
    </row>
    <row r="201" spans="1:5" x14ac:dyDescent="0.25">
      <c r="A201" s="7"/>
      <c r="B201" s="7"/>
      <c r="C201" s="7"/>
      <c r="D201" s="8"/>
      <c r="E201" s="8"/>
    </row>
    <row r="202" spans="1:5" x14ac:dyDescent="0.25">
      <c r="A202" s="7"/>
      <c r="B202" s="7"/>
      <c r="C202" s="7"/>
      <c r="D202" s="8"/>
      <c r="E202" s="8"/>
    </row>
    <row r="203" spans="1:5" x14ac:dyDescent="0.25">
      <c r="A203" s="7"/>
      <c r="B203" s="7"/>
      <c r="C203" s="7"/>
      <c r="D203" s="8"/>
      <c r="E203" s="8"/>
    </row>
    <row r="204" spans="1:5" x14ac:dyDescent="0.25">
      <c r="A204" s="7"/>
      <c r="B204" s="7"/>
      <c r="C204" s="7"/>
      <c r="D204" s="8"/>
      <c r="E204" s="8"/>
    </row>
    <row r="205" spans="1:5" x14ac:dyDescent="0.25">
      <c r="A205" s="7"/>
      <c r="B205" s="7"/>
      <c r="C205" s="7"/>
      <c r="D205" s="8"/>
      <c r="E205" s="8"/>
    </row>
    <row r="206" spans="1:5" x14ac:dyDescent="0.25">
      <c r="A206" s="7"/>
      <c r="B206" s="7"/>
      <c r="C206" s="7"/>
      <c r="D206" s="8"/>
      <c r="E206" s="8"/>
    </row>
    <row r="207" spans="1:5" x14ac:dyDescent="0.25">
      <c r="A207" s="7"/>
      <c r="B207" s="7"/>
      <c r="C207" s="7"/>
      <c r="D207" s="8"/>
      <c r="E207" s="8"/>
    </row>
    <row r="208" spans="1:5" x14ac:dyDescent="0.25">
      <c r="A208" s="7"/>
      <c r="B208" s="7"/>
      <c r="C208" s="7"/>
      <c r="D208" s="8"/>
      <c r="E208" s="8"/>
    </row>
    <row r="209" spans="1:5" x14ac:dyDescent="0.25">
      <c r="A209" s="7"/>
      <c r="B209" s="7"/>
      <c r="C209" s="7"/>
      <c r="D209" s="8"/>
      <c r="E209" s="8"/>
    </row>
    <row r="210" spans="1:5" x14ac:dyDescent="0.25">
      <c r="A210" s="7"/>
      <c r="B210" s="7"/>
      <c r="C210" s="7"/>
      <c r="D210" s="8"/>
      <c r="E210" s="8"/>
    </row>
    <row r="211" spans="1:5" x14ac:dyDescent="0.25">
      <c r="A211" s="7"/>
      <c r="B211" s="7"/>
      <c r="C211" s="7"/>
      <c r="D211" s="8"/>
      <c r="E211" s="8"/>
    </row>
    <row r="212" spans="1:5" x14ac:dyDescent="0.25">
      <c r="A212" s="7"/>
      <c r="B212" s="7"/>
      <c r="C212" s="7"/>
      <c r="D212" s="8"/>
      <c r="E212" s="8"/>
    </row>
    <row r="213" spans="1:5" x14ac:dyDescent="0.25">
      <c r="A213" s="7"/>
      <c r="B213" s="7"/>
      <c r="C213" s="7"/>
      <c r="D213" s="8"/>
      <c r="E213" s="8"/>
    </row>
    <row r="214" spans="1:5" x14ac:dyDescent="0.25">
      <c r="A214" s="7"/>
      <c r="B214" s="7"/>
      <c r="C214" s="7"/>
      <c r="D214" s="8"/>
      <c r="E214" s="8"/>
    </row>
    <row r="215" spans="1:5" x14ac:dyDescent="0.25">
      <c r="A215" s="7"/>
      <c r="B215" s="7"/>
      <c r="C215" s="7"/>
      <c r="D215" s="8"/>
      <c r="E215" s="8"/>
    </row>
    <row r="216" spans="1:5" x14ac:dyDescent="0.25">
      <c r="A216" s="7"/>
      <c r="B216" s="7"/>
      <c r="C216" s="7"/>
      <c r="D216" s="8"/>
      <c r="E216" s="8"/>
    </row>
    <row r="217" spans="1:5" x14ac:dyDescent="0.25">
      <c r="A217" s="7"/>
      <c r="B217" s="7"/>
      <c r="C217" s="7"/>
      <c r="D217" s="8"/>
      <c r="E217" s="8"/>
    </row>
    <row r="218" spans="1:5" x14ac:dyDescent="0.25">
      <c r="A218" s="7"/>
      <c r="B218" s="7"/>
      <c r="C218" s="7"/>
      <c r="D218" s="8"/>
      <c r="E218" s="8"/>
    </row>
    <row r="219" spans="1:5" x14ac:dyDescent="0.25">
      <c r="A219" s="7"/>
      <c r="B219" s="7"/>
      <c r="C219" s="7"/>
      <c r="D219" s="8"/>
      <c r="E219" s="8"/>
    </row>
    <row r="220" spans="1:5" x14ac:dyDescent="0.25">
      <c r="A220" s="7"/>
      <c r="B220" s="7"/>
      <c r="C220" s="7"/>
      <c r="D220" s="8"/>
      <c r="E220" s="8"/>
    </row>
    <row r="221" spans="1:5" x14ac:dyDescent="0.25">
      <c r="A221" s="7"/>
      <c r="B221" s="7"/>
      <c r="C221" s="7"/>
      <c r="D221" s="8"/>
      <c r="E221" s="8"/>
    </row>
    <row r="222" spans="1:5" x14ac:dyDescent="0.25">
      <c r="A222" s="7"/>
      <c r="B222" s="7"/>
      <c r="C222" s="7"/>
      <c r="D222" s="8"/>
      <c r="E222" s="8"/>
    </row>
    <row r="223" spans="1:5" x14ac:dyDescent="0.25">
      <c r="A223" s="7"/>
      <c r="B223" s="7"/>
      <c r="C223" s="7"/>
      <c r="D223" s="8"/>
      <c r="E223" s="8"/>
    </row>
    <row r="224" spans="1:5" x14ac:dyDescent="0.25">
      <c r="A224" s="7"/>
      <c r="B224" s="7"/>
      <c r="C224" s="7"/>
      <c r="D224" s="8"/>
      <c r="E224" s="8"/>
    </row>
    <row r="225" spans="1:5" x14ac:dyDescent="0.25">
      <c r="A225" s="7"/>
      <c r="B225" s="7"/>
      <c r="C225" s="7"/>
      <c r="D225" s="8"/>
      <c r="E225" s="8"/>
    </row>
    <row r="226" spans="1:5" x14ac:dyDescent="0.25">
      <c r="A226" s="7"/>
      <c r="B226" s="7"/>
      <c r="C226" s="7"/>
      <c r="D226" s="8"/>
      <c r="E226" s="8"/>
    </row>
    <row r="227" spans="1:5" x14ac:dyDescent="0.25">
      <c r="A227" s="7"/>
      <c r="B227" s="7"/>
      <c r="C227" s="7"/>
      <c r="D227" s="8"/>
      <c r="E227" s="8"/>
    </row>
    <row r="228" spans="1:5" x14ac:dyDescent="0.25">
      <c r="A228" s="7"/>
      <c r="B228" s="7"/>
      <c r="C228" s="7"/>
      <c r="D228" s="8"/>
      <c r="E228" s="8"/>
    </row>
    <row r="229" spans="1:5" x14ac:dyDescent="0.25">
      <c r="A229" s="7"/>
      <c r="B229" s="7"/>
      <c r="C229" s="7"/>
      <c r="D229" s="8"/>
      <c r="E229" s="8"/>
    </row>
    <row r="230" spans="1:5" x14ac:dyDescent="0.25">
      <c r="A230" s="7"/>
      <c r="B230" s="7"/>
      <c r="C230" s="7"/>
      <c r="D230" s="8"/>
      <c r="E230" s="8"/>
    </row>
    <row r="231" spans="1:5" x14ac:dyDescent="0.25">
      <c r="A231" s="7"/>
      <c r="B231" s="7"/>
      <c r="C231" s="7"/>
      <c r="D231" s="8"/>
      <c r="E231" s="8"/>
    </row>
    <row r="232" spans="1:5" x14ac:dyDescent="0.25">
      <c r="A232" s="7"/>
      <c r="B232" s="7"/>
      <c r="C232" s="7"/>
      <c r="D232" s="8"/>
      <c r="E232" s="8"/>
    </row>
    <row r="233" spans="1:5" x14ac:dyDescent="0.25">
      <c r="A233" s="7"/>
      <c r="B233" s="7"/>
      <c r="C233" s="7"/>
      <c r="D233" s="8"/>
      <c r="E233" s="8"/>
    </row>
    <row r="234" spans="1:5" x14ac:dyDescent="0.25">
      <c r="A234" s="7"/>
      <c r="B234" s="7"/>
      <c r="C234" s="7"/>
      <c r="D234" s="8"/>
      <c r="E234" s="8"/>
    </row>
    <row r="235" spans="1:5" x14ac:dyDescent="0.25">
      <c r="A235" s="7"/>
      <c r="B235" s="7"/>
      <c r="C235" s="7"/>
      <c r="D235" s="8"/>
      <c r="E235" s="8"/>
    </row>
    <row r="236" spans="1:5" x14ac:dyDescent="0.25">
      <c r="A236" s="7"/>
      <c r="B236" s="7"/>
      <c r="C236" s="7"/>
      <c r="D236" s="8"/>
      <c r="E236" s="8"/>
    </row>
    <row r="237" spans="1:5" x14ac:dyDescent="0.25">
      <c r="A237" s="7"/>
      <c r="B237" s="7"/>
      <c r="C237" s="7"/>
      <c r="D237" s="8"/>
      <c r="E237" s="8"/>
    </row>
    <row r="238" spans="1:5" x14ac:dyDescent="0.25">
      <c r="A238" s="7"/>
      <c r="B238" s="7"/>
      <c r="C238" s="7"/>
      <c r="D238" s="8"/>
      <c r="E238" s="8"/>
    </row>
    <row r="239" spans="1:5" x14ac:dyDescent="0.25">
      <c r="A239" s="7"/>
      <c r="B239" s="7"/>
      <c r="C239" s="7"/>
      <c r="D239" s="8"/>
      <c r="E239" s="8"/>
    </row>
    <row r="240" spans="1:5" x14ac:dyDescent="0.25">
      <c r="A240" s="7"/>
      <c r="B240" s="7"/>
      <c r="C240" s="7"/>
      <c r="D240" s="8"/>
      <c r="E240" s="8"/>
    </row>
    <row r="241" spans="1:5" x14ac:dyDescent="0.25">
      <c r="A241" s="7"/>
      <c r="B241" s="7"/>
      <c r="C241" s="7"/>
      <c r="D241" s="8"/>
      <c r="E241" s="8"/>
    </row>
    <row r="242" spans="1:5" x14ac:dyDescent="0.25">
      <c r="A242" s="7"/>
      <c r="B242" s="7"/>
      <c r="C242" s="7"/>
      <c r="D242" s="8"/>
      <c r="E242" s="8"/>
    </row>
    <row r="243" spans="1:5" x14ac:dyDescent="0.25">
      <c r="A243" s="7"/>
      <c r="B243" s="7"/>
      <c r="C243" s="7"/>
      <c r="D243" s="8"/>
      <c r="E243" s="8"/>
    </row>
    <row r="244" spans="1:5" x14ac:dyDescent="0.25">
      <c r="A244" s="7"/>
      <c r="B244" s="7"/>
      <c r="C244" s="7"/>
      <c r="D244" s="8"/>
      <c r="E244" s="8"/>
    </row>
    <row r="245" spans="1:5" x14ac:dyDescent="0.25">
      <c r="A245" s="7"/>
      <c r="B245" s="7"/>
      <c r="C245" s="7"/>
      <c r="D245" s="8"/>
      <c r="E245" s="8"/>
    </row>
    <row r="246" spans="1:5" x14ac:dyDescent="0.25">
      <c r="A246" s="7"/>
      <c r="B246" s="7"/>
      <c r="C246" s="7"/>
      <c r="D246" s="8"/>
      <c r="E246" s="8"/>
    </row>
    <row r="247" spans="1:5" x14ac:dyDescent="0.25">
      <c r="A247" s="7"/>
      <c r="B247" s="7"/>
      <c r="C247" s="7"/>
      <c r="D247" s="8"/>
      <c r="E247" s="8"/>
    </row>
    <row r="248" spans="1:5" x14ac:dyDescent="0.25">
      <c r="A248" s="7"/>
      <c r="B248" s="7"/>
      <c r="C248" s="7"/>
      <c r="D248" s="8"/>
      <c r="E248" s="8"/>
    </row>
    <row r="249" spans="1:5" x14ac:dyDescent="0.25">
      <c r="A249" s="7"/>
      <c r="B249" s="7"/>
      <c r="C249" s="7"/>
      <c r="D249" s="8"/>
      <c r="E249" s="8"/>
    </row>
    <row r="250" spans="1:5" x14ac:dyDescent="0.25">
      <c r="A250" s="7"/>
      <c r="B250" s="7"/>
      <c r="C250" s="7"/>
      <c r="D250" s="8"/>
      <c r="E250" s="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T250"/>
  <sheetViews>
    <sheetView workbookViewId="0"/>
  </sheetViews>
  <sheetFormatPr defaultRowHeight="15" x14ac:dyDescent="0.25"/>
  <sheetData>
    <row r="1" spans="1:20" x14ac:dyDescent="0.25">
      <c r="A1" t="str">
        <f>IF(Draft_Import!D2&lt;&gt;"",Draft_Import!D2,"Team 1")</f>
        <v>Ross</v>
      </c>
      <c r="C1" t="str">
        <f>IF(Draft_Import!D3&lt;&gt;"",Draft_Import!D3,"Team 2")</f>
        <v>Melbye²</v>
      </c>
      <c r="E1" t="str">
        <f>IF(Draft_Import!D4&lt;&gt;"",Draft_Import!D4,"Team 3")</f>
        <v>Bryan</v>
      </c>
      <c r="G1" t="str">
        <f>IF(Draft_Import!D5&lt;&gt;"",Draft_Import!D5,"Team 4")</f>
        <v>Dan 'Full Swing' Clark</v>
      </c>
      <c r="I1" t="str">
        <f>IF(Draft_Import!D6&lt;&gt;"",Draft_Import!D6,"Team 5")</f>
        <v>Roth</v>
      </c>
      <c r="K1" t="str">
        <f>IF(Draft_Import!D7&lt;&gt;"",Draft_Import!D7,"Team 6")</f>
        <v>Coulter</v>
      </c>
      <c r="M1" t="str">
        <f>IF(Draft_Import!D8&lt;&gt;"",Draft_Import!D8,"Team 7")</f>
        <v>Klooster</v>
      </c>
      <c r="O1" t="str">
        <f>IF(Draft_Import!D9&lt;&gt;"",Draft_Import!D9,"Team 8")</f>
        <v>Adam &amp; Kevin</v>
      </c>
      <c r="Q1" t="str">
        <f>IF(Draft_Import!D10&lt;&gt;"",Draft_Import!D10,"Team 9")</f>
        <v>Asshole Garrett</v>
      </c>
      <c r="S1" t="str">
        <f>IF(Draft_Import!D11&lt;&gt;"",Draft_Import!D11,"Team 10")</f>
        <v>Cool Tony</v>
      </c>
    </row>
    <row r="2" spans="1:20" x14ac:dyDescent="0.25">
      <c r="A2">
        <f>IF(Draft_Import!$D2=A$1,COUNTIF(Draft_Import!$D$2:'Draft_Import'!$D2,A$1),"")</f>
        <v>1</v>
      </c>
      <c r="B2" t="str">
        <f>IFERROR(INDEX(Draft_Import!$E$2:$E$250,MATCH(ROWS(B$2:B2),A$2:A$250,0)),"")</f>
        <v>Scottie Scheffler</v>
      </c>
      <c r="C2" t="str">
        <f>IF(Draft_Import!$D2=C$1,COUNTIF(Draft_Import!$D$2:'Draft_Import'!$D2,C$1),"")</f>
        <v/>
      </c>
      <c r="D2" t="str">
        <f>IFERROR(INDEX(Draft_Import!$E$2:$E$250,MATCH(ROWS(D$2:D2),C$2:C$250,0)),"")</f>
        <v>Bryson DeChambeau</v>
      </c>
      <c r="E2" t="str">
        <f>IF(Draft_Import!$D2=E$1,COUNTIF(Draft_Import!$D$2:'Draft_Import'!$D2,E$1),"")</f>
        <v/>
      </c>
      <c r="F2" t="str">
        <f>IFERROR(INDEX(Draft_Import!$E$2:$E$250,MATCH(ROWS(F$2:F2),E$2:E$250,0)),"")</f>
        <v>Jon Rahm</v>
      </c>
      <c r="G2" t="str">
        <f>IF(Draft_Import!$D2=G$1,COUNTIF(Draft_Import!$D$2:'Draft_Import'!$D2,G$1),"")</f>
        <v/>
      </c>
      <c r="H2" t="str">
        <f>IFERROR(INDEX(Draft_Import!$E$2:$E$250,MATCH(ROWS(H$2:H2),G$2:G$250,0)),"")</f>
        <v>Ludvig Åberg</v>
      </c>
      <c r="I2" t="str">
        <f>IF(Draft_Import!$D2=I$1,COUNTIF(Draft_Import!$D$2:'Draft_Import'!$D2,I$1),"")</f>
        <v/>
      </c>
      <c r="J2" t="str">
        <f>IFERROR(INDEX(Draft_Import!$E$2:$E$250,MATCH(ROWS(J$2:J2),I$2:I$250,0)),"")</f>
        <v>Rory McIlroy</v>
      </c>
      <c r="K2" t="str">
        <f>IF(Draft_Import!$D2=K$1,COUNTIF(Draft_Import!$D$2:'Draft_Import'!$D2,K$1),"")</f>
        <v/>
      </c>
      <c r="L2" t="str">
        <f>IFERROR(INDEX(Draft_Import!$E$2:$E$250,MATCH(ROWS(L$2:L2),K$2:K$250,0)),"")</f>
        <v>Xander Schauffele</v>
      </c>
      <c r="M2" t="str">
        <f>IF(Draft_Import!$D2=M$1,COUNTIF(Draft_Import!$D$2:'Draft_Import'!$D2,M$1),"")</f>
        <v/>
      </c>
      <c r="N2" t="str">
        <f>IFERROR(INDEX(Draft_Import!$E$2:$E$250,MATCH(ROWS(N$2:N2),M$2:M$250,0)),"")</f>
        <v>Justin Rose</v>
      </c>
      <c r="O2" t="str">
        <f>IF(Draft_Import!$D2=O$1,COUNTIF(Draft_Import!$D$2:'Draft_Import'!$D2,O$1),"")</f>
        <v/>
      </c>
      <c r="P2" t="str">
        <f>IFERROR(INDEX(Draft_Import!$E$2:$E$250,MATCH(ROWS(P$2:P2),O$2:O$250,0)),"")</f>
        <v>Cameron Young</v>
      </c>
      <c r="Q2" t="str">
        <f>IF(Draft_Import!$D2=Q$1,COUNTIF(Draft_Import!$D$2:'Draft_Import'!$D2,Q$1),"")</f>
        <v/>
      </c>
      <c r="R2" t="str">
        <f>IFERROR(INDEX(Draft_Import!$E$2:$E$250,MATCH(ROWS(R$2:R2),Q$2:Q$250,0)),"")</f>
        <v>Collin Morikawa</v>
      </c>
      <c r="S2" t="str">
        <f>IF(Draft_Import!$D2=S$1,COUNTIF(Draft_Import!$D$2:'Draft_Import'!$D2,S$1),"")</f>
        <v/>
      </c>
      <c r="T2" t="str">
        <f>IFERROR(INDEX(Draft_Import!$E$2:$E$250,MATCH(ROWS(T$2:T2),S$2:S$250,0)),"")</f>
        <v>Tommy Fleetwood</v>
      </c>
    </row>
    <row r="3" spans="1:20" x14ac:dyDescent="0.25">
      <c r="A3" t="str">
        <f>IF(Draft_Import!$D3=A$1,COUNTIF(Draft_Import!$D$2:'Draft_Import'!$D3,A$1),"")</f>
        <v/>
      </c>
      <c r="B3" t="str">
        <f>IFERROR(INDEX(Draft_Import!$E$2:$E$250,MATCH(ROWS(B$2:B3),A$2:A$250,0)),"")</f>
        <v>Akshay Bhatia</v>
      </c>
      <c r="C3">
        <f>IF(Draft_Import!$D3=C$1,COUNTIF(Draft_Import!$D$2:'Draft_Import'!$D3,C$1),"")</f>
        <v>1</v>
      </c>
      <c r="D3" t="str">
        <f>IFERROR(INDEX(Draft_Import!$E$2:$E$250,MATCH(ROWS(D$2:D3),C$2:C$250,0)),"")</f>
        <v>Brooks Koepka</v>
      </c>
      <c r="E3" t="str">
        <f>IF(Draft_Import!$D3=E$1,COUNTIF(Draft_Import!$D$2:'Draft_Import'!$D3,E$1),"")</f>
        <v/>
      </c>
      <c r="F3" t="str">
        <f>IFERROR(INDEX(Draft_Import!$E$2:$E$250,MATCH(ROWS(F$2:F3),E$2:E$250,0)),"")</f>
        <v>Russell Henley</v>
      </c>
      <c r="G3" t="str">
        <f>IF(Draft_Import!$D3=G$1,COUNTIF(Draft_Import!$D$2:'Draft_Import'!$D3,G$1),"")</f>
        <v/>
      </c>
      <c r="H3" t="str">
        <f>IFERROR(INDEX(Draft_Import!$E$2:$E$250,MATCH(ROWS(H$2:H3),G$2:G$250,0)),"")</f>
        <v>Si Woo Kim</v>
      </c>
      <c r="I3" t="str">
        <f>IF(Draft_Import!$D3=I$1,COUNTIF(Draft_Import!$D$2:'Draft_Import'!$D3,I$1),"")</f>
        <v/>
      </c>
      <c r="J3" t="str">
        <f>IFERROR(INDEX(Draft_Import!$E$2:$E$250,MATCH(ROWS(J$2:J3),I$2:I$250,0)),"")</f>
        <v>Hideki Matsuyama</v>
      </c>
      <c r="K3" t="str">
        <f>IF(Draft_Import!$D3=K$1,COUNTIF(Draft_Import!$D$2:'Draft_Import'!$D3,K$1),"")</f>
        <v/>
      </c>
      <c r="L3" t="str">
        <f>IFERROR(INDEX(Draft_Import!$E$2:$E$250,MATCH(ROWS(L$2:L3),K$2:K$250,0)),"")</f>
        <v>Jordan Spieth</v>
      </c>
      <c r="M3" t="str">
        <f>IF(Draft_Import!$D3=M$1,COUNTIF(Draft_Import!$D$2:'Draft_Import'!$D3,M$1),"")</f>
        <v/>
      </c>
      <c r="N3" t="str">
        <f>IFERROR(INDEX(Draft_Import!$E$2:$E$250,MATCH(ROWS(N$2:N3),M$2:M$250,0)),"")</f>
        <v>Robert MacIntyre</v>
      </c>
      <c r="O3" t="str">
        <f>IF(Draft_Import!$D3=O$1,COUNTIF(Draft_Import!$D$2:'Draft_Import'!$D3,O$1),"")</f>
        <v/>
      </c>
      <c r="P3" t="str">
        <f>IFERROR(INDEX(Draft_Import!$E$2:$E$250,MATCH(ROWS(P$2:P3),O$2:O$250,0)),"")</f>
        <v>Patrick Reed</v>
      </c>
      <c r="Q3" t="str">
        <f>IF(Draft_Import!$D3=Q$1,COUNTIF(Draft_Import!$D$2:'Draft_Import'!$D3,Q$1),"")</f>
        <v/>
      </c>
      <c r="R3" t="str">
        <f>IFERROR(INDEX(Draft_Import!$E$2:$E$250,MATCH(ROWS(R$2:R3),Q$2:Q$250,0)),"")</f>
        <v>Min Woo Lee</v>
      </c>
      <c r="S3" t="str">
        <f>IF(Draft_Import!$D3=S$1,COUNTIF(Draft_Import!$D$2:'Draft_Import'!$D3,S$1),"")</f>
        <v/>
      </c>
      <c r="T3" t="str">
        <f>IFERROR(INDEX(Draft_Import!$E$2:$E$250,MATCH(ROWS(T$2:T3),S$2:S$250,0)),"")</f>
        <v>Matt Fitzpatrick</v>
      </c>
    </row>
    <row r="4" spans="1:20" x14ac:dyDescent="0.25">
      <c r="A4" t="str">
        <f>IF(Draft_Import!$D4=A$1,COUNTIF(Draft_Import!$D$2:'Draft_Import'!$D4,A$1),"")</f>
        <v/>
      </c>
      <c r="B4" t="str">
        <f>IFERROR(INDEX(Draft_Import!$E$2:$E$250,MATCH(ROWS(B$2:B4),A$2:A$250,0)),"")</f>
        <v>Chris Gotterup</v>
      </c>
      <c r="C4" t="str">
        <f>IF(Draft_Import!$D4=C$1,COUNTIF(Draft_Import!$D$2:'Draft_Import'!$D4,C$1),"")</f>
        <v/>
      </c>
      <c r="D4" t="str">
        <f>IFERROR(INDEX(Draft_Import!$E$2:$E$250,MATCH(ROWS(D$2:D4),C$2:C$250,0)),"")</f>
        <v>Jake Knapp</v>
      </c>
      <c r="E4">
        <f>IF(Draft_Import!$D4=E$1,COUNTIF(Draft_Import!$D$2:'Draft_Import'!$D4,E$1),"")</f>
        <v>1</v>
      </c>
      <c r="F4" t="str">
        <f>IFERROR(INDEX(Draft_Import!$E$2:$E$250,MATCH(ROWS(F$2:F4),E$2:E$250,0)),"")</f>
        <v>Corey Conners</v>
      </c>
      <c r="G4" t="str">
        <f>IF(Draft_Import!$D4=G$1,COUNTIF(Draft_Import!$D$2:'Draft_Import'!$D4,G$1),"")</f>
        <v/>
      </c>
      <c r="H4" t="str">
        <f>IFERROR(INDEX(Draft_Import!$E$2:$E$250,MATCH(ROWS(H$2:H4),G$2:G$250,0)),"")</f>
        <v>Jacob Bridgeman</v>
      </c>
      <c r="I4" t="str">
        <f>IF(Draft_Import!$D4=I$1,COUNTIF(Draft_Import!$D$2:'Draft_Import'!$D4,I$1),"")</f>
        <v/>
      </c>
      <c r="J4" t="str">
        <f>IFERROR(INDEX(Draft_Import!$E$2:$E$250,MATCH(ROWS(J$2:J4),I$2:I$250,0)),"")</f>
        <v>J.J. Spaun</v>
      </c>
      <c r="K4" t="str">
        <f>IF(Draft_Import!$D4=K$1,COUNTIF(Draft_Import!$D$2:'Draft_Import'!$D4,K$1),"")</f>
        <v/>
      </c>
      <c r="L4" t="str">
        <f>IFERROR(INDEX(Draft_Import!$E$2:$E$250,MATCH(ROWS(L$2:L4),K$2:K$250,0)),"")</f>
        <v>Justin Thomas</v>
      </c>
      <c r="M4" t="str">
        <f>IF(Draft_Import!$D4=M$1,COUNTIF(Draft_Import!$D$2:'Draft_Import'!$D4,M$1),"")</f>
        <v/>
      </c>
      <c r="N4" t="str">
        <f>IFERROR(INDEX(Draft_Import!$E$2:$E$250,MATCH(ROWS(N$2:N4),M$2:M$250,0)),"")</f>
        <v>Nicolai Højgaard</v>
      </c>
      <c r="O4" t="str">
        <f>IF(Draft_Import!$D4=O$1,COUNTIF(Draft_Import!$D$2:'Draft_Import'!$D4,O$1),"")</f>
        <v/>
      </c>
      <c r="P4" t="str">
        <f>IFERROR(INDEX(Draft_Import!$E$2:$E$250,MATCH(ROWS(P$2:P4),O$2:O$250,0)),"")</f>
        <v>Cameron Smith</v>
      </c>
      <c r="Q4" t="str">
        <f>IF(Draft_Import!$D4=Q$1,COUNTIF(Draft_Import!$D$2:'Draft_Import'!$D4,Q$1),"")</f>
        <v/>
      </c>
      <c r="R4" t="str">
        <f>IFERROR(INDEX(Draft_Import!$E$2:$E$250,MATCH(ROWS(R$2:R4),Q$2:Q$250,0)),"")</f>
        <v>Max Homa</v>
      </c>
      <c r="S4" t="str">
        <f>IF(Draft_Import!$D4=S$1,COUNTIF(Draft_Import!$D$2:'Draft_Import'!$D4,S$1),"")</f>
        <v/>
      </c>
      <c r="T4" t="str">
        <f>IFERROR(INDEX(Draft_Import!$E$2:$E$250,MATCH(ROWS(T$2:T4),S$2:S$250,0)),"")</f>
        <v>Viktor Hovland</v>
      </c>
    </row>
    <row r="5" spans="1:20" x14ac:dyDescent="0.25">
      <c r="A5" t="str">
        <f>IF(Draft_Import!$D5=A$1,COUNTIF(Draft_Import!$D$2:'Draft_Import'!$D5,A$1),"")</f>
        <v/>
      </c>
      <c r="B5" t="str">
        <f>IFERROR(INDEX(Draft_Import!$E$2:$E$250,MATCH(ROWS(B$2:B5),A$2:A$250,0)),"")</f>
        <v>Patrick Cantlay</v>
      </c>
      <c r="C5" t="str">
        <f>IF(Draft_Import!$D5=C$1,COUNTIF(Draft_Import!$D$2:'Draft_Import'!$D5,C$1),"")</f>
        <v/>
      </c>
      <c r="D5" t="str">
        <f>IFERROR(INDEX(Draft_Import!$E$2:$E$250,MATCH(ROWS(D$2:D5),C$2:C$250,0)),"")</f>
        <v>Sam Burns</v>
      </c>
      <c r="E5" t="str">
        <f>IF(Draft_Import!$D5=E$1,COUNTIF(Draft_Import!$D$2:'Draft_Import'!$D5,E$1),"")</f>
        <v/>
      </c>
      <c r="F5" t="str">
        <f>IFERROR(INDEX(Draft_Import!$E$2:$E$250,MATCH(ROWS(F$2:F5),E$2:E$250,0)),"")</f>
        <v>Maverick McNealy</v>
      </c>
      <c r="G5">
        <f>IF(Draft_Import!$D5=G$1,COUNTIF(Draft_Import!$D$2:'Draft_Import'!$D5,G$1),"")</f>
        <v>1</v>
      </c>
      <c r="H5" t="str">
        <f>IFERROR(INDEX(Draft_Import!$E$2:$E$250,MATCH(ROWS(H$2:H5),G$2:G$250,0)),"")</f>
        <v>Shane Lowry</v>
      </c>
      <c r="I5" t="str">
        <f>IF(Draft_Import!$D5=I$1,COUNTIF(Draft_Import!$D$2:'Draft_Import'!$D5,I$1),"")</f>
        <v/>
      </c>
      <c r="J5" t="str">
        <f>IFERROR(INDEX(Draft_Import!$E$2:$E$250,MATCH(ROWS(J$2:J5),I$2:I$250,0)),"")</f>
        <v>Ben Griffin</v>
      </c>
      <c r="K5" t="str">
        <f>IF(Draft_Import!$D5=K$1,COUNTIF(Draft_Import!$D$2:'Draft_Import'!$D5,K$1),"")</f>
        <v/>
      </c>
      <c r="L5" t="str">
        <f>IFERROR(INDEX(Draft_Import!$E$2:$E$250,MATCH(ROWS(L$2:L5),K$2:K$250,0)),"")</f>
        <v>Tyrrell Hatton</v>
      </c>
      <c r="M5" t="str">
        <f>IF(Draft_Import!$D5=M$1,COUNTIF(Draft_Import!$D$2:'Draft_Import'!$D5,M$1),"")</f>
        <v/>
      </c>
      <c r="N5" t="str">
        <f>IFERROR(INDEX(Draft_Import!$E$2:$E$250,MATCH(ROWS(N$2:N5),M$2:M$250,0)),"")</f>
        <v>Adam Scott</v>
      </c>
      <c r="O5" t="str">
        <f>IF(Draft_Import!$D5=O$1,COUNTIF(Draft_Import!$D$2:'Draft_Import'!$D5,O$1),"")</f>
        <v/>
      </c>
      <c r="P5" t="str">
        <f>IFERROR(INDEX(Draft_Import!$E$2:$E$250,MATCH(ROWS(P$2:P5),O$2:O$250,0)),"")</f>
        <v>Sepp Straka</v>
      </c>
      <c r="Q5" t="str">
        <f>IF(Draft_Import!$D5=Q$1,COUNTIF(Draft_Import!$D$2:'Draft_Import'!$D5,Q$1),"")</f>
        <v/>
      </c>
      <c r="R5" t="str">
        <f>IFERROR(INDEX(Draft_Import!$E$2:$E$250,MATCH(ROWS(R$2:R5),Q$2:Q$250,0)),"")</f>
        <v>Sungjae Im</v>
      </c>
      <c r="S5" t="str">
        <f>IF(Draft_Import!$D5=S$1,COUNTIF(Draft_Import!$D$2:'Draft_Import'!$D5,S$1),"")</f>
        <v/>
      </c>
      <c r="T5" t="str">
        <f>IFERROR(INDEX(Draft_Import!$E$2:$E$250,MATCH(ROWS(T$2:T5),S$2:S$250,0)),"")</f>
        <v>Jason Day</v>
      </c>
    </row>
    <row r="6" spans="1:20" x14ac:dyDescent="0.25">
      <c r="A6" t="str">
        <f>IF(Draft_Import!$D6=A$1,COUNTIF(Draft_Import!$D$2:'Draft_Import'!$D6,A$1),"")</f>
        <v/>
      </c>
      <c r="B6" t="str">
        <f>IFERROR(INDEX(Draft_Import!$E$2:$E$250,MATCH(ROWS(B$2:B6),A$2:A$250,0)),"")</f>
        <v>Harris English</v>
      </c>
      <c r="C6" t="str">
        <f>IF(Draft_Import!$D6=C$1,COUNTIF(Draft_Import!$D$2:'Draft_Import'!$D6,C$1),"")</f>
        <v/>
      </c>
      <c r="D6" t="str">
        <f>IFERROR(INDEX(Draft_Import!$E$2:$E$250,MATCH(ROWS(D$2:D6),C$2:C$250,0)),"")</f>
        <v>Daniel Berger</v>
      </c>
      <c r="E6" t="str">
        <f>IF(Draft_Import!$D6=E$1,COUNTIF(Draft_Import!$D$2:'Draft_Import'!$D6,E$1),"")</f>
        <v/>
      </c>
      <c r="F6" t="str">
        <f>IFERROR(INDEX(Draft_Import!$E$2:$E$250,MATCH(ROWS(F$2:F6),E$2:E$250,0)),"")</f>
        <v>Harry Hall</v>
      </c>
      <c r="G6" t="str">
        <f>IF(Draft_Import!$D6=G$1,COUNTIF(Draft_Import!$D$2:'Draft_Import'!$D6,G$1),"")</f>
        <v/>
      </c>
      <c r="H6" t="str">
        <f>IFERROR(INDEX(Draft_Import!$E$2:$E$250,MATCH(ROWS(H$2:H6),G$2:G$250,0)),"")</f>
        <v>Keegan Bradley</v>
      </c>
      <c r="I6">
        <f>IF(Draft_Import!$D6=I$1,COUNTIF(Draft_Import!$D$2:'Draft_Import'!$D6,I$1),"")</f>
        <v>1</v>
      </c>
      <c r="J6" t="str">
        <f>IFERROR(INDEX(Draft_Import!$E$2:$E$250,MATCH(ROWS(J$2:J6),I$2:I$250,0)),"")</f>
        <v>Kurt Kitayama</v>
      </c>
      <c r="K6" t="str">
        <f>IF(Draft_Import!$D6=K$1,COUNTIF(Draft_Import!$D$2:'Draft_Import'!$D6,K$1),"")</f>
        <v/>
      </c>
      <c r="L6" t="str">
        <f>IFERROR(INDEX(Draft_Import!$E$2:$E$250,MATCH(ROWS(L$2:L6),K$2:K$250,0)),"")</f>
        <v>Dustin Johnson</v>
      </c>
      <c r="M6" t="str">
        <f>IF(Draft_Import!$D6=M$1,COUNTIF(Draft_Import!$D$2:'Draft_Import'!$D6,M$1),"")</f>
        <v/>
      </c>
      <c r="N6" t="str">
        <f>IFERROR(INDEX(Draft_Import!$E$2:$E$250,MATCH(ROWS(N$2:N6),M$2:M$250,0)),"")</f>
        <v>Marco Penge</v>
      </c>
      <c r="O6" t="str">
        <f>IF(Draft_Import!$D6=O$1,COUNTIF(Draft_Import!$D$2:'Draft_Import'!$D6,O$1),"")</f>
        <v/>
      </c>
      <c r="P6" t="str">
        <f>IFERROR(INDEX(Draft_Import!$E$2:$E$250,MATCH(ROWS(P$2:P6),O$2:O$250,0)),"")</f>
        <v>Ryan Fox</v>
      </c>
      <c r="Q6" t="str">
        <f>IF(Draft_Import!$D6=Q$1,COUNTIF(Draft_Import!$D$2:'Draft_Import'!$D6,Q$1),"")</f>
        <v/>
      </c>
      <c r="R6" t="str">
        <f>IFERROR(INDEX(Draft_Import!$E$2:$E$250,MATCH(ROWS(R$2:R6),Q$2:Q$250,0)),"")</f>
        <v>Rasmus Højgaard</v>
      </c>
      <c r="S6" t="str">
        <f>IF(Draft_Import!$D6=S$1,COUNTIF(Draft_Import!$D$2:'Draft_Import'!$D6,S$1),"")</f>
        <v/>
      </c>
      <c r="T6" t="str">
        <f>IFERROR(INDEX(Draft_Import!$E$2:$E$250,MATCH(ROWS(T$2:T6),S$2:S$250,0)),"")</f>
        <v>Gary Woodland</v>
      </c>
    </row>
    <row r="7" spans="1:20" x14ac:dyDescent="0.25">
      <c r="A7" t="str">
        <f>IF(Draft_Import!$D7=A$1,COUNTIF(Draft_Import!$D$2:'Draft_Import'!$D7,A$1),"")</f>
        <v/>
      </c>
      <c r="B7" t="str">
        <f>IFERROR(INDEX(Draft_Import!$E$2:$E$250,MATCH(ROWS(B$2:B7),A$2:A$250,0)),"")</f>
        <v>Aaron Rai</v>
      </c>
      <c r="C7" t="str">
        <f>IF(Draft_Import!$D7=C$1,COUNTIF(Draft_Import!$D$2:'Draft_Import'!$D7,C$1),"")</f>
        <v/>
      </c>
      <c r="D7" t="str">
        <f>IFERROR(INDEX(Draft_Import!$E$2:$E$250,MATCH(ROWS(D$2:D7),C$2:C$250,0)),"")</f>
        <v>Aldrich Potgieter</v>
      </c>
      <c r="E7" t="str">
        <f>IF(Draft_Import!$D7=E$1,COUNTIF(Draft_Import!$D$2:'Draft_Import'!$D7,E$1),"")</f>
        <v/>
      </c>
      <c r="F7" t="str">
        <f>IFERROR(INDEX(Draft_Import!$E$2:$E$250,MATCH(ROWS(F$2:F7),E$2:E$250,0)),"")</f>
        <v>Nick Taylor</v>
      </c>
      <c r="G7" t="str">
        <f>IF(Draft_Import!$D7=G$1,COUNTIF(Draft_Import!$D$2:'Draft_Import'!$D7,G$1),"")</f>
        <v/>
      </c>
      <c r="H7" t="str">
        <f>IFERROR(INDEX(Draft_Import!$E$2:$E$250,MATCH(ROWS(H$2:H7),G$2:G$250,0)),"")</f>
        <v>Alex Noren</v>
      </c>
      <c r="I7" t="str">
        <f>IF(Draft_Import!$D7=I$1,COUNTIF(Draft_Import!$D$2:'Draft_Import'!$D7,I$1),"")</f>
        <v/>
      </c>
      <c r="J7" t="str">
        <f>IFERROR(INDEX(Draft_Import!$E$2:$E$250,MATCH(ROWS(J$2:J7),I$2:I$250,0)),"")</f>
        <v>Matt McCarty</v>
      </c>
      <c r="K7">
        <f>IF(Draft_Import!$D7=K$1,COUNTIF(Draft_Import!$D$2:'Draft_Import'!$D7,K$1),"")</f>
        <v>1</v>
      </c>
      <c r="L7" t="str">
        <f>IFERROR(INDEX(Draft_Import!$E$2:$E$250,MATCH(ROWS(L$2:L7),K$2:K$250,0)),"")</f>
        <v>Nicolas Echavarria</v>
      </c>
      <c r="M7" t="str">
        <f>IF(Draft_Import!$D7=M$1,COUNTIF(Draft_Import!$D$2:'Draft_Import'!$D7,M$1),"")</f>
        <v/>
      </c>
      <c r="N7" t="str">
        <f>IFERROR(INDEX(Draft_Import!$E$2:$E$250,MATCH(ROWS(N$2:N7),M$2:M$250,0)),"")</f>
        <v>Wyndham Clark</v>
      </c>
      <c r="O7" t="str">
        <f>IF(Draft_Import!$D7=O$1,COUNTIF(Draft_Import!$D$2:'Draft_Import'!$D7,O$1),"")</f>
        <v/>
      </c>
      <c r="P7" t="str">
        <f>IFERROR(INDEX(Draft_Import!$E$2:$E$250,MATCH(ROWS(P$2:P7),O$2:O$250,0)),"")</f>
        <v>Ryan Gerard</v>
      </c>
      <c r="Q7" t="str">
        <f>IF(Draft_Import!$D7=Q$1,COUNTIF(Draft_Import!$D$2:'Draft_Import'!$D7,Q$1),"")</f>
        <v/>
      </c>
      <c r="R7" t="str">
        <f>IFERROR(INDEX(Draft_Import!$E$2:$E$250,MATCH(ROWS(R$2:R7),Q$2:Q$250,0)),"")</f>
        <v>Brian Harman</v>
      </c>
      <c r="S7" t="str">
        <f>IF(Draft_Import!$D7=S$1,COUNTIF(Draft_Import!$D$2:'Draft_Import'!$D7,S$1),"")</f>
        <v/>
      </c>
      <c r="T7" t="str">
        <f>IFERROR(INDEX(Draft_Import!$E$2:$E$250,MATCH(ROWS(T$2:T7),S$2:S$250,0)),"")</f>
        <v>Samuel Stevens</v>
      </c>
    </row>
    <row r="8" spans="1:20" x14ac:dyDescent="0.25">
      <c r="A8" t="str">
        <f>IF(Draft_Import!$D8=A$1,COUNTIF(Draft_Import!$D$2:'Draft_Import'!$D8,A$1),"")</f>
        <v/>
      </c>
      <c r="B8" t="str">
        <f>IFERROR(INDEX(Draft_Import!$E$2:$E$250,MATCH(ROWS(B$2:B8),A$2:A$250,0)),"")</f>
        <v>Casey Jarvis</v>
      </c>
      <c r="C8" t="str">
        <f>IF(Draft_Import!$D8=C$1,COUNTIF(Draft_Import!$D$2:'Draft_Import'!$D8,C$1),"")</f>
        <v/>
      </c>
      <c r="D8" t="str">
        <f>IFERROR(INDEX(Draft_Import!$E$2:$E$250,MATCH(ROWS(D$2:D8),C$2:C$250,0)),"")</f>
        <v>Max Greyserman</v>
      </c>
      <c r="E8" t="str">
        <f>IF(Draft_Import!$D8=E$1,COUNTIF(Draft_Import!$D$2:'Draft_Import'!$D8,E$1),"")</f>
        <v/>
      </c>
      <c r="F8" t="str">
        <f>IFERROR(INDEX(Draft_Import!$E$2:$E$250,MATCH(ROWS(F$2:F8),E$2:E$250,0)),"")</f>
        <v>Michael Kim</v>
      </c>
      <c r="G8" t="str">
        <f>IF(Draft_Import!$D8=G$1,COUNTIF(Draft_Import!$D$2:'Draft_Import'!$D8,G$1),"")</f>
        <v/>
      </c>
      <c r="H8" t="str">
        <f>IFERROR(INDEX(Draft_Import!$E$2:$E$250,MATCH(ROWS(H$2:H8),G$2:G$250,0)),"")</f>
        <v>Rasmus Neergaard-Petersen</v>
      </c>
      <c r="I8" t="str">
        <f>IF(Draft_Import!$D8=I$1,COUNTIF(Draft_Import!$D$2:'Draft_Import'!$D8,I$1),"")</f>
        <v/>
      </c>
      <c r="J8" t="str">
        <f>IFERROR(INDEX(Draft_Import!$E$2:$E$250,MATCH(ROWS(J$2:J8),I$2:I$250,0)),"")</f>
        <v>Kristoffer Reitan</v>
      </c>
      <c r="K8" t="str">
        <f>IF(Draft_Import!$D8=K$1,COUNTIF(Draft_Import!$D$2:'Draft_Import'!$D8,K$1),"")</f>
        <v/>
      </c>
      <c r="L8" t="str">
        <f>IFERROR(INDEX(Draft_Import!$E$2:$E$250,MATCH(ROWS(L$2:L8),K$2:K$250,0)),"")</f>
        <v>Andrew Novak</v>
      </c>
      <c r="M8">
        <f>IF(Draft_Import!$D8=M$1,COUNTIF(Draft_Import!$D$2:'Draft_Import'!$D8,M$1),"")</f>
        <v>1</v>
      </c>
      <c r="N8" t="str">
        <f>IFERROR(INDEX(Draft_Import!$E$2:$E$250,MATCH(ROWS(N$2:N8),M$2:M$250,0)),"")</f>
        <v>Michael Brennan</v>
      </c>
      <c r="O8" t="str">
        <f>IF(Draft_Import!$D8=O$1,COUNTIF(Draft_Import!$D$2:'Draft_Import'!$D8,O$1),"")</f>
        <v/>
      </c>
      <c r="P8" t="str">
        <f>IFERROR(INDEX(Draft_Import!$E$2:$E$250,MATCH(ROWS(P$2:P8),O$2:O$250,0)),"")</f>
        <v>Carlos Ortiz</v>
      </c>
      <c r="Q8" t="str">
        <f>IF(Draft_Import!$D8=Q$1,COUNTIF(Draft_Import!$D$2:'Draft_Import'!$D8,Q$1),"")</f>
        <v/>
      </c>
      <c r="R8" t="str">
        <f>IFERROR(INDEX(Draft_Import!$E$2:$E$250,MATCH(ROWS(R$2:R8),Q$2:Q$250,0)),"")</f>
        <v>Zach Johnson</v>
      </c>
      <c r="S8" t="str">
        <f>IF(Draft_Import!$D8=S$1,COUNTIF(Draft_Import!$D$2:'Draft_Import'!$D8,S$1),"")</f>
        <v/>
      </c>
      <c r="T8" t="str">
        <f>IFERROR(INDEX(Draft_Import!$E$2:$E$250,MATCH(ROWS(T$2:T8),S$2:S$250,0)),"")</f>
        <v>Haotong Li</v>
      </c>
    </row>
    <row r="9" spans="1:20" x14ac:dyDescent="0.25">
      <c r="A9" t="str">
        <f>IF(Draft_Import!$D9=A$1,COUNTIF(Draft_Import!$D$2:'Draft_Import'!$D9,A$1),"")</f>
        <v/>
      </c>
      <c r="B9" t="str">
        <f>IFERROR(INDEX(Draft_Import!$E$2:$E$250,MATCH(ROWS(B$2:B9),A$2:A$250,0)),"")</f>
        <v>Fifa Laopakdee (a)</v>
      </c>
      <c r="C9" t="str">
        <f>IF(Draft_Import!$D9=C$1,COUNTIF(Draft_Import!$D$2:'Draft_Import'!$D9,C$1),"")</f>
        <v/>
      </c>
      <c r="D9" t="str">
        <f>IFERROR(INDEX(Draft_Import!$E$2:$E$250,MATCH(ROWS(D$2:D9),C$2:C$250,0)),"")</f>
        <v>Mason Howell (a)</v>
      </c>
      <c r="E9" t="str">
        <f>IF(Draft_Import!$D9=E$1,COUNTIF(Draft_Import!$D$2:'Draft_Import'!$D9,E$1),"")</f>
        <v/>
      </c>
      <c r="F9" t="str">
        <f>IFERROR(INDEX(Draft_Import!$E$2:$E$250,MATCH(ROWS(F$2:F9),E$2:E$250,0)),"")</f>
        <v>Danny Willett</v>
      </c>
      <c r="G9" t="str">
        <f>IF(Draft_Import!$D9=G$1,COUNTIF(Draft_Import!$D$2:'Draft_Import'!$D9,G$1),"")</f>
        <v/>
      </c>
      <c r="H9" t="str">
        <f>IFERROR(INDEX(Draft_Import!$E$2:$E$250,MATCH(ROWS(H$2:H9),G$2:G$250,0)),"")</f>
        <v>Davis Riley</v>
      </c>
      <c r="I9" t="str">
        <f>IF(Draft_Import!$D9=I$1,COUNTIF(Draft_Import!$D$2:'Draft_Import'!$D9,I$1),"")</f>
        <v/>
      </c>
      <c r="J9" t="str">
        <f>IFERROR(INDEX(Draft_Import!$E$2:$E$250,MATCH(ROWS(J$2:J9),I$2:I$250,0)),"")</f>
        <v>Brian Campbell</v>
      </c>
      <c r="K9" t="str">
        <f>IF(Draft_Import!$D9=K$1,COUNTIF(Draft_Import!$D$2:'Draft_Import'!$D9,K$1),"")</f>
        <v/>
      </c>
      <c r="L9" t="str">
        <f>IFERROR(INDEX(Draft_Import!$E$2:$E$250,MATCH(ROWS(L$2:L9),K$2:K$250,0)),"")</f>
        <v>Sami Välimäki</v>
      </c>
      <c r="M9" t="str">
        <f>IF(Draft_Import!$D9=M$1,COUNTIF(Draft_Import!$D$2:'Draft_Import'!$D9,M$1),"")</f>
        <v/>
      </c>
      <c r="N9" t="str">
        <f>IFERROR(INDEX(Draft_Import!$E$2:$E$250,MATCH(ROWS(N$2:N9),M$2:M$250,0)),"")</f>
        <v>Charl Schwartzel</v>
      </c>
      <c r="O9">
        <f>IF(Draft_Import!$D9=O$1,COUNTIF(Draft_Import!$D$2:'Draft_Import'!$D9,O$1),"")</f>
        <v>1</v>
      </c>
      <c r="P9" t="str">
        <f>IFERROR(INDEX(Draft_Import!$E$2:$E$250,MATCH(ROWS(P$2:P9),O$2:O$250,0)),"")</f>
        <v>John Keefer</v>
      </c>
      <c r="Q9" t="str">
        <f>IF(Draft_Import!$D9=Q$1,COUNTIF(Draft_Import!$D$2:'Draft_Import'!$D9,Q$1),"")</f>
        <v/>
      </c>
      <c r="R9" t="str">
        <f>IFERROR(INDEX(Draft_Import!$E$2:$E$250,MATCH(ROWS(R$2:R9),Q$2:Q$250,0)),"")</f>
        <v>Bubba Watson</v>
      </c>
      <c r="S9" t="str">
        <f>IF(Draft_Import!$D9=S$1,COUNTIF(Draft_Import!$D$2:'Draft_Import'!$D9,S$1),"")</f>
        <v/>
      </c>
      <c r="T9" t="str">
        <f>IFERROR(INDEX(Draft_Import!$E$2:$E$250,MATCH(ROWS(T$2:T9),S$2:S$250,0)),"")</f>
        <v>Tom McKibbin</v>
      </c>
    </row>
    <row r="10" spans="1:20" x14ac:dyDescent="0.25">
      <c r="A10" t="str">
        <f>IF(Draft_Import!$D10=A$1,COUNTIF(Draft_Import!$D$2:'Draft_Import'!$D10,A$1),"")</f>
        <v/>
      </c>
      <c r="B10" t="str">
        <f>IFERROR(INDEX(Draft_Import!$E$2:$E$250,MATCH(ROWS(B$2:B10),A$2:A$250,0)),"")</f>
        <v>Ethan Fang (a)</v>
      </c>
      <c r="C10" t="str">
        <f>IF(Draft_Import!$D10=C$1,COUNTIF(Draft_Import!$D$2:'Draft_Import'!$D10,C$1),"")</f>
        <v/>
      </c>
      <c r="D10" t="str">
        <f>IFERROR(INDEX(Draft_Import!$E$2:$E$250,MATCH(ROWS(D$2:D10),C$2:C$250,0)),"")</f>
        <v>Jackson Herrington (a)</v>
      </c>
      <c r="E10" t="str">
        <f>IF(Draft_Import!$D10=E$1,COUNTIF(Draft_Import!$D$2:'Draft_Import'!$D10,E$1),"")</f>
        <v/>
      </c>
      <c r="F10" t="str">
        <f>IFERROR(INDEX(Draft_Import!$E$2:$E$250,MATCH(ROWS(F$2:F10),E$2:E$250,0)),"")</f>
        <v>Naoyuki Kataoka</v>
      </c>
      <c r="G10" t="str">
        <f>IF(Draft_Import!$D10=G$1,COUNTIF(Draft_Import!$D$2:'Draft_Import'!$D10,G$1),"")</f>
        <v/>
      </c>
      <c r="H10" t="str">
        <f>IFERROR(INDEX(Draft_Import!$E$2:$E$250,MATCH(ROWS(H$2:H10),G$2:G$250,0)),"")</f>
        <v>Brandon Holtz (a)</v>
      </c>
      <c r="I10" t="str">
        <f>IF(Draft_Import!$D10=I$1,COUNTIF(Draft_Import!$D$2:'Draft_Import'!$D10,I$1),"")</f>
        <v/>
      </c>
      <c r="J10" t="str">
        <f>IFERROR(INDEX(Draft_Import!$E$2:$E$250,MATCH(ROWS(J$2:J10),I$2:I$250,0)),"")</f>
        <v>Mateo Pulcini (a)</v>
      </c>
      <c r="K10" t="str">
        <f>IF(Draft_Import!$D10=K$1,COUNTIF(Draft_Import!$D$2:'Draft_Import'!$D10,K$1),"")</f>
        <v/>
      </c>
      <c r="L10" t="str">
        <f>IFERROR(INDEX(Draft_Import!$E$2:$E$250,MATCH(ROWS(L$2:L10),K$2:K$250,0)),"")</f>
        <v>José María Olazábal</v>
      </c>
      <c r="M10" t="str">
        <f>IF(Draft_Import!$D10=M$1,COUNTIF(Draft_Import!$D$2:'Draft_Import'!$D10,M$1),"")</f>
        <v/>
      </c>
      <c r="N10" t="str">
        <f>IFERROR(INDEX(Draft_Import!$E$2:$E$250,MATCH(ROWS(N$2:N10),M$2:M$250,0)),"")</f>
        <v>Mike Weir</v>
      </c>
      <c r="O10" t="str">
        <f>IF(Draft_Import!$D10=O$1,COUNTIF(Draft_Import!$D$2:'Draft_Import'!$D10,O$1),"")</f>
        <v/>
      </c>
      <c r="P10" t="str">
        <f>IFERROR(INDEX(Draft_Import!$E$2:$E$250,MATCH(ROWS(P$2:P10),O$2:O$250,0)),"")</f>
        <v>Vijay Singh</v>
      </c>
      <c r="Q10">
        <f>IF(Draft_Import!$D10=Q$1,COUNTIF(Draft_Import!$D$2:'Draft_Import'!$D10,Q$1),"")</f>
        <v>1</v>
      </c>
      <c r="R10" t="str">
        <f>IFERROR(INDEX(Draft_Import!$E$2:$E$250,MATCH(ROWS(R$2:R10),Q$2:Q$250,0)),"")</f>
        <v>Ángel Cabrera</v>
      </c>
      <c r="S10" t="str">
        <f>IF(Draft_Import!$D10=S$1,COUNTIF(Draft_Import!$D$2:'Draft_Import'!$D10,S$1),"")</f>
        <v/>
      </c>
      <c r="T10" t="str">
        <f>IFERROR(INDEX(Draft_Import!$E$2:$E$250,MATCH(ROWS(T$2:T10),S$2:S$250,0)),"")</f>
        <v>Fred Couples</v>
      </c>
    </row>
    <row r="11" spans="1:20" x14ac:dyDescent="0.25">
      <c r="A11" t="str">
        <f>IF(Draft_Import!$D11=A$1,COUNTIF(Draft_Import!$D$2:'Draft_Import'!$D11,A$1),"")</f>
        <v/>
      </c>
      <c r="B11" t="str">
        <f>IFERROR(INDEX(Draft_Import!$E$2:$E$250,MATCH(ROWS(B$2:B11),A$2:A$250,0)),"")</f>
        <v/>
      </c>
      <c r="C11" t="str">
        <f>IF(Draft_Import!$D11=C$1,COUNTIF(Draft_Import!$D$2:'Draft_Import'!$D11,C$1),"")</f>
        <v/>
      </c>
      <c r="D11" t="str">
        <f>IFERROR(INDEX(Draft_Import!$E$2:$E$250,MATCH(ROWS(D$2:D11),C$2:C$250,0)),"")</f>
        <v/>
      </c>
      <c r="E11" t="str">
        <f>IF(Draft_Import!$D11=E$1,COUNTIF(Draft_Import!$D$2:'Draft_Import'!$D11,E$1),"")</f>
        <v/>
      </c>
      <c r="F11" t="str">
        <f>IFERROR(INDEX(Draft_Import!$E$2:$E$250,MATCH(ROWS(F$2:F11),E$2:E$250,0)),"")</f>
        <v/>
      </c>
      <c r="G11" t="str">
        <f>IF(Draft_Import!$D11=G$1,COUNTIF(Draft_Import!$D$2:'Draft_Import'!$D11,G$1),"")</f>
        <v/>
      </c>
      <c r="H11" t="str">
        <f>IFERROR(INDEX(Draft_Import!$E$2:$E$250,MATCH(ROWS(H$2:H11),G$2:G$250,0)),"")</f>
        <v/>
      </c>
      <c r="I11" t="str">
        <f>IF(Draft_Import!$D11=I$1,COUNTIF(Draft_Import!$D$2:'Draft_Import'!$D11,I$1),"")</f>
        <v/>
      </c>
      <c r="J11" t="str">
        <f>IFERROR(INDEX(Draft_Import!$E$2:$E$250,MATCH(ROWS(J$2:J11),I$2:I$250,0)),"")</f>
        <v/>
      </c>
      <c r="K11" t="str">
        <f>IF(Draft_Import!$D11=K$1,COUNTIF(Draft_Import!$D$2:'Draft_Import'!$D11,K$1),"")</f>
        <v/>
      </c>
      <c r="L11" t="str">
        <f>IFERROR(INDEX(Draft_Import!$E$2:$E$250,MATCH(ROWS(L$2:L11),K$2:K$250,0)),"")</f>
        <v/>
      </c>
      <c r="M11" t="str">
        <f>IF(Draft_Import!$D11=M$1,COUNTIF(Draft_Import!$D$2:'Draft_Import'!$D11,M$1),"")</f>
        <v/>
      </c>
      <c r="N11" t="str">
        <f>IFERROR(INDEX(Draft_Import!$E$2:$E$250,MATCH(ROWS(N$2:N11),M$2:M$250,0)),"")</f>
        <v/>
      </c>
      <c r="O11" t="str">
        <f>IF(Draft_Import!$D11=O$1,COUNTIF(Draft_Import!$D$2:'Draft_Import'!$D11,O$1),"")</f>
        <v/>
      </c>
      <c r="P11" t="str">
        <f>IFERROR(INDEX(Draft_Import!$E$2:$E$250,MATCH(ROWS(P$2:P11),O$2:O$250,0)),"")</f>
        <v/>
      </c>
      <c r="Q11" t="str">
        <f>IF(Draft_Import!$D11=Q$1,COUNTIF(Draft_Import!$D$2:'Draft_Import'!$D11,Q$1),"")</f>
        <v/>
      </c>
      <c r="R11" t="str">
        <f>IFERROR(INDEX(Draft_Import!$E$2:$E$250,MATCH(ROWS(R$2:R11),Q$2:Q$250,0)),"")</f>
        <v/>
      </c>
      <c r="S11">
        <f>IF(Draft_Import!$D11=S$1,COUNTIF(Draft_Import!$D$2:'Draft_Import'!$D11,S$1),"")</f>
        <v>1</v>
      </c>
      <c r="T11" t="str">
        <f>IFERROR(INDEX(Draft_Import!$E$2:$E$250,MATCH(ROWS(T$2:T11),S$2:S$250,0)),"")</f>
        <v>Sergio Garcia</v>
      </c>
    </row>
    <row r="12" spans="1:20" x14ac:dyDescent="0.25">
      <c r="A12" t="str">
        <f>IF(Draft_Import!$D12=A$1,COUNTIF(Draft_Import!$D$2:'Draft_Import'!$D12,A$1),"")</f>
        <v/>
      </c>
      <c r="B12" t="str">
        <f>IFERROR(INDEX(Draft_Import!$E$2:$E$250,MATCH(ROWS(B$2:B12),A$2:A$250,0)),"")</f>
        <v/>
      </c>
      <c r="C12" t="str">
        <f>IF(Draft_Import!$D12=C$1,COUNTIF(Draft_Import!$D$2:'Draft_Import'!$D12,C$1),"")</f>
        <v/>
      </c>
      <c r="D12" t="str">
        <f>IFERROR(INDEX(Draft_Import!$E$2:$E$250,MATCH(ROWS(D$2:D12),C$2:C$250,0)),"")</f>
        <v/>
      </c>
      <c r="E12" t="str">
        <f>IF(Draft_Import!$D12=E$1,COUNTIF(Draft_Import!$D$2:'Draft_Import'!$D12,E$1),"")</f>
        <v/>
      </c>
      <c r="F12" t="str">
        <f>IFERROR(INDEX(Draft_Import!$E$2:$E$250,MATCH(ROWS(F$2:F12),E$2:E$250,0)),"")</f>
        <v/>
      </c>
      <c r="G12" t="str">
        <f>IF(Draft_Import!$D12=G$1,COUNTIF(Draft_Import!$D$2:'Draft_Import'!$D12,G$1),"")</f>
        <v/>
      </c>
      <c r="H12" t="str">
        <f>IFERROR(INDEX(Draft_Import!$E$2:$E$250,MATCH(ROWS(H$2:H12),G$2:G$250,0)),"")</f>
        <v/>
      </c>
      <c r="I12" t="str">
        <f>IF(Draft_Import!$D12=I$1,COUNTIF(Draft_Import!$D$2:'Draft_Import'!$D12,I$1),"")</f>
        <v/>
      </c>
      <c r="J12" t="str">
        <f>IFERROR(INDEX(Draft_Import!$E$2:$E$250,MATCH(ROWS(J$2:J12),I$2:I$250,0)),"")</f>
        <v/>
      </c>
      <c r="K12" t="str">
        <f>IF(Draft_Import!$D12=K$1,COUNTIF(Draft_Import!$D$2:'Draft_Import'!$D12,K$1),"")</f>
        <v/>
      </c>
      <c r="L12" t="str">
        <f>IFERROR(INDEX(Draft_Import!$E$2:$E$250,MATCH(ROWS(L$2:L12),K$2:K$250,0)),"")</f>
        <v/>
      </c>
      <c r="M12" t="str">
        <f>IF(Draft_Import!$D12=M$1,COUNTIF(Draft_Import!$D$2:'Draft_Import'!$D12,M$1),"")</f>
        <v/>
      </c>
      <c r="N12" t="str">
        <f>IFERROR(INDEX(Draft_Import!$E$2:$E$250,MATCH(ROWS(N$2:N12),M$2:M$250,0)),"")</f>
        <v/>
      </c>
      <c r="O12" t="str">
        <f>IF(Draft_Import!$D12=O$1,COUNTIF(Draft_Import!$D$2:'Draft_Import'!$D12,O$1),"")</f>
        <v/>
      </c>
      <c r="P12" t="str">
        <f>IFERROR(INDEX(Draft_Import!$E$2:$E$250,MATCH(ROWS(P$2:P12),O$2:O$250,0)),"")</f>
        <v/>
      </c>
      <c r="Q12" t="str">
        <f>IF(Draft_Import!$D12=Q$1,COUNTIF(Draft_Import!$D$2:'Draft_Import'!$D12,Q$1),"")</f>
        <v/>
      </c>
      <c r="R12" t="str">
        <f>IFERROR(INDEX(Draft_Import!$E$2:$E$250,MATCH(ROWS(R$2:R12),Q$2:Q$250,0)),"")</f>
        <v/>
      </c>
      <c r="S12">
        <f>IF(Draft_Import!$D12=S$1,COUNTIF(Draft_Import!$D$2:'Draft_Import'!$D12,S$1),"")</f>
        <v>2</v>
      </c>
      <c r="T12" t="str">
        <f>IFERROR(INDEX(Draft_Import!$E$2:$E$250,MATCH(ROWS(T$2:T12),S$2:S$250,0)),"")</f>
        <v/>
      </c>
    </row>
    <row r="13" spans="1:20" x14ac:dyDescent="0.25">
      <c r="A13" t="str">
        <f>IF(Draft_Import!$D13=A$1,COUNTIF(Draft_Import!$D$2:'Draft_Import'!$D13,A$1),"")</f>
        <v/>
      </c>
      <c r="B13" t="str">
        <f>IFERROR(INDEX(Draft_Import!$E$2:$E$250,MATCH(ROWS(B$2:B13),A$2:A$250,0)),"")</f>
        <v/>
      </c>
      <c r="C13" t="str">
        <f>IF(Draft_Import!$D13=C$1,COUNTIF(Draft_Import!$D$2:'Draft_Import'!$D13,C$1),"")</f>
        <v/>
      </c>
      <c r="D13" t="str">
        <f>IFERROR(INDEX(Draft_Import!$E$2:$E$250,MATCH(ROWS(D$2:D13),C$2:C$250,0)),"")</f>
        <v/>
      </c>
      <c r="E13" t="str">
        <f>IF(Draft_Import!$D13=E$1,COUNTIF(Draft_Import!$D$2:'Draft_Import'!$D13,E$1),"")</f>
        <v/>
      </c>
      <c r="F13" t="str">
        <f>IFERROR(INDEX(Draft_Import!$E$2:$E$250,MATCH(ROWS(F$2:F13),E$2:E$250,0)),"")</f>
        <v/>
      </c>
      <c r="G13" t="str">
        <f>IF(Draft_Import!$D13=G$1,COUNTIF(Draft_Import!$D$2:'Draft_Import'!$D13,G$1),"")</f>
        <v/>
      </c>
      <c r="H13" t="str">
        <f>IFERROR(INDEX(Draft_Import!$E$2:$E$250,MATCH(ROWS(H$2:H13),G$2:G$250,0)),"")</f>
        <v/>
      </c>
      <c r="I13" t="str">
        <f>IF(Draft_Import!$D13=I$1,COUNTIF(Draft_Import!$D$2:'Draft_Import'!$D13,I$1),"")</f>
        <v/>
      </c>
      <c r="J13" t="str">
        <f>IFERROR(INDEX(Draft_Import!$E$2:$E$250,MATCH(ROWS(J$2:J13),I$2:I$250,0)),"")</f>
        <v/>
      </c>
      <c r="K13" t="str">
        <f>IF(Draft_Import!$D13=K$1,COUNTIF(Draft_Import!$D$2:'Draft_Import'!$D13,K$1),"")</f>
        <v/>
      </c>
      <c r="L13" t="str">
        <f>IFERROR(INDEX(Draft_Import!$E$2:$E$250,MATCH(ROWS(L$2:L13),K$2:K$250,0)),"")</f>
        <v/>
      </c>
      <c r="M13" t="str">
        <f>IF(Draft_Import!$D13=M$1,COUNTIF(Draft_Import!$D$2:'Draft_Import'!$D13,M$1),"")</f>
        <v/>
      </c>
      <c r="N13" t="str">
        <f>IFERROR(INDEX(Draft_Import!$E$2:$E$250,MATCH(ROWS(N$2:N13),M$2:M$250,0)),"")</f>
        <v/>
      </c>
      <c r="O13" t="str">
        <f>IF(Draft_Import!$D13=O$1,COUNTIF(Draft_Import!$D$2:'Draft_Import'!$D13,O$1),"")</f>
        <v/>
      </c>
      <c r="P13" t="str">
        <f>IFERROR(INDEX(Draft_Import!$E$2:$E$250,MATCH(ROWS(P$2:P13),O$2:O$250,0)),"")</f>
        <v/>
      </c>
      <c r="Q13">
        <f>IF(Draft_Import!$D13=Q$1,COUNTIF(Draft_Import!$D$2:'Draft_Import'!$D13,Q$1),"")</f>
        <v>2</v>
      </c>
      <c r="R13" t="str">
        <f>IFERROR(INDEX(Draft_Import!$E$2:$E$250,MATCH(ROWS(R$2:R13),Q$2:Q$250,0)),"")</f>
        <v/>
      </c>
      <c r="S13" t="str">
        <f>IF(Draft_Import!$D13=S$1,COUNTIF(Draft_Import!$D$2:'Draft_Import'!$D13,S$1),"")</f>
        <v/>
      </c>
      <c r="T13" t="str">
        <f>IFERROR(INDEX(Draft_Import!$E$2:$E$250,MATCH(ROWS(T$2:T13),S$2:S$250,0)),"")</f>
        <v/>
      </c>
    </row>
    <row r="14" spans="1:20" x14ac:dyDescent="0.25">
      <c r="A14" t="str">
        <f>IF(Draft_Import!$D14=A$1,COUNTIF(Draft_Import!$D$2:'Draft_Import'!$D14,A$1),"")</f>
        <v/>
      </c>
      <c r="B14" t="str">
        <f>IFERROR(INDEX(Draft_Import!$E$2:$E$250,MATCH(ROWS(B$2:B14),A$2:A$250,0)),"")</f>
        <v/>
      </c>
      <c r="C14" t="str">
        <f>IF(Draft_Import!$D14=C$1,COUNTIF(Draft_Import!$D$2:'Draft_Import'!$D14,C$1),"")</f>
        <v/>
      </c>
      <c r="D14" t="str">
        <f>IFERROR(INDEX(Draft_Import!$E$2:$E$250,MATCH(ROWS(D$2:D14),C$2:C$250,0)),"")</f>
        <v/>
      </c>
      <c r="E14" t="str">
        <f>IF(Draft_Import!$D14=E$1,COUNTIF(Draft_Import!$D$2:'Draft_Import'!$D14,E$1),"")</f>
        <v/>
      </c>
      <c r="F14" t="str">
        <f>IFERROR(INDEX(Draft_Import!$E$2:$E$250,MATCH(ROWS(F$2:F14),E$2:E$250,0)),"")</f>
        <v/>
      </c>
      <c r="G14" t="str">
        <f>IF(Draft_Import!$D14=G$1,COUNTIF(Draft_Import!$D$2:'Draft_Import'!$D14,G$1),"")</f>
        <v/>
      </c>
      <c r="H14" t="str">
        <f>IFERROR(INDEX(Draft_Import!$E$2:$E$250,MATCH(ROWS(H$2:H14),G$2:G$250,0)),"")</f>
        <v/>
      </c>
      <c r="I14" t="str">
        <f>IF(Draft_Import!$D14=I$1,COUNTIF(Draft_Import!$D$2:'Draft_Import'!$D14,I$1),"")</f>
        <v/>
      </c>
      <c r="J14" t="str">
        <f>IFERROR(INDEX(Draft_Import!$E$2:$E$250,MATCH(ROWS(J$2:J14),I$2:I$250,0)),"")</f>
        <v/>
      </c>
      <c r="K14" t="str">
        <f>IF(Draft_Import!$D14=K$1,COUNTIF(Draft_Import!$D$2:'Draft_Import'!$D14,K$1),"")</f>
        <v/>
      </c>
      <c r="L14" t="str">
        <f>IFERROR(INDEX(Draft_Import!$E$2:$E$250,MATCH(ROWS(L$2:L14),K$2:K$250,0)),"")</f>
        <v/>
      </c>
      <c r="M14" t="str">
        <f>IF(Draft_Import!$D14=M$1,COUNTIF(Draft_Import!$D$2:'Draft_Import'!$D14,M$1),"")</f>
        <v/>
      </c>
      <c r="N14" t="str">
        <f>IFERROR(INDEX(Draft_Import!$E$2:$E$250,MATCH(ROWS(N$2:N14),M$2:M$250,0)),"")</f>
        <v/>
      </c>
      <c r="O14">
        <f>IF(Draft_Import!$D14=O$1,COUNTIF(Draft_Import!$D$2:'Draft_Import'!$D14,O$1),"")</f>
        <v>2</v>
      </c>
      <c r="P14" t="str">
        <f>IFERROR(INDEX(Draft_Import!$E$2:$E$250,MATCH(ROWS(P$2:P14),O$2:O$250,0)),"")</f>
        <v/>
      </c>
      <c r="Q14" t="str">
        <f>IF(Draft_Import!$D14=Q$1,COUNTIF(Draft_Import!$D$2:'Draft_Import'!$D14,Q$1),"")</f>
        <v/>
      </c>
      <c r="R14" t="str">
        <f>IFERROR(INDEX(Draft_Import!$E$2:$E$250,MATCH(ROWS(R$2:R14),Q$2:Q$250,0)),"")</f>
        <v/>
      </c>
      <c r="S14" t="str">
        <f>IF(Draft_Import!$D14=S$1,COUNTIF(Draft_Import!$D$2:'Draft_Import'!$D14,S$1),"")</f>
        <v/>
      </c>
      <c r="T14" t="str">
        <f>IFERROR(INDEX(Draft_Import!$E$2:$E$250,MATCH(ROWS(T$2:T14),S$2:S$250,0)),"")</f>
        <v/>
      </c>
    </row>
    <row r="15" spans="1:20" x14ac:dyDescent="0.25">
      <c r="A15" t="str">
        <f>IF(Draft_Import!$D15=A$1,COUNTIF(Draft_Import!$D$2:'Draft_Import'!$D15,A$1),"")</f>
        <v/>
      </c>
      <c r="B15" t="str">
        <f>IFERROR(INDEX(Draft_Import!$E$2:$E$250,MATCH(ROWS(B$2:B15),A$2:A$250,0)),"")</f>
        <v/>
      </c>
      <c r="C15" t="str">
        <f>IF(Draft_Import!$D15=C$1,COUNTIF(Draft_Import!$D$2:'Draft_Import'!$D15,C$1),"")</f>
        <v/>
      </c>
      <c r="D15" t="str">
        <f>IFERROR(INDEX(Draft_Import!$E$2:$E$250,MATCH(ROWS(D$2:D15),C$2:C$250,0)),"")</f>
        <v/>
      </c>
      <c r="E15" t="str">
        <f>IF(Draft_Import!$D15=E$1,COUNTIF(Draft_Import!$D$2:'Draft_Import'!$D15,E$1),"")</f>
        <v/>
      </c>
      <c r="F15" t="str">
        <f>IFERROR(INDEX(Draft_Import!$E$2:$E$250,MATCH(ROWS(F$2:F15),E$2:E$250,0)),"")</f>
        <v/>
      </c>
      <c r="G15" t="str">
        <f>IF(Draft_Import!$D15=G$1,COUNTIF(Draft_Import!$D$2:'Draft_Import'!$D15,G$1),"")</f>
        <v/>
      </c>
      <c r="H15" t="str">
        <f>IFERROR(INDEX(Draft_Import!$E$2:$E$250,MATCH(ROWS(H$2:H15),G$2:G$250,0)),"")</f>
        <v/>
      </c>
      <c r="I15" t="str">
        <f>IF(Draft_Import!$D15=I$1,COUNTIF(Draft_Import!$D$2:'Draft_Import'!$D15,I$1),"")</f>
        <v/>
      </c>
      <c r="J15" t="str">
        <f>IFERROR(INDEX(Draft_Import!$E$2:$E$250,MATCH(ROWS(J$2:J15),I$2:I$250,0)),"")</f>
        <v/>
      </c>
      <c r="K15" t="str">
        <f>IF(Draft_Import!$D15=K$1,COUNTIF(Draft_Import!$D$2:'Draft_Import'!$D15,K$1),"")</f>
        <v/>
      </c>
      <c r="L15" t="str">
        <f>IFERROR(INDEX(Draft_Import!$E$2:$E$250,MATCH(ROWS(L$2:L15),K$2:K$250,0)),"")</f>
        <v/>
      </c>
      <c r="M15">
        <f>IF(Draft_Import!$D15=M$1,COUNTIF(Draft_Import!$D$2:'Draft_Import'!$D15,M$1),"")</f>
        <v>2</v>
      </c>
      <c r="N15" t="str">
        <f>IFERROR(INDEX(Draft_Import!$E$2:$E$250,MATCH(ROWS(N$2:N15),M$2:M$250,0)),"")</f>
        <v/>
      </c>
      <c r="O15" t="str">
        <f>IF(Draft_Import!$D15=O$1,COUNTIF(Draft_Import!$D$2:'Draft_Import'!$D15,O$1),"")</f>
        <v/>
      </c>
      <c r="P15" t="str">
        <f>IFERROR(INDEX(Draft_Import!$E$2:$E$250,MATCH(ROWS(P$2:P15),O$2:O$250,0)),"")</f>
        <v/>
      </c>
      <c r="Q15" t="str">
        <f>IF(Draft_Import!$D15=Q$1,COUNTIF(Draft_Import!$D$2:'Draft_Import'!$D15,Q$1),"")</f>
        <v/>
      </c>
      <c r="R15" t="str">
        <f>IFERROR(INDEX(Draft_Import!$E$2:$E$250,MATCH(ROWS(R$2:R15),Q$2:Q$250,0)),"")</f>
        <v/>
      </c>
      <c r="S15" t="str">
        <f>IF(Draft_Import!$D15=S$1,COUNTIF(Draft_Import!$D$2:'Draft_Import'!$D15,S$1),"")</f>
        <v/>
      </c>
      <c r="T15" t="str">
        <f>IFERROR(INDEX(Draft_Import!$E$2:$E$250,MATCH(ROWS(T$2:T15),S$2:S$250,0)),"")</f>
        <v/>
      </c>
    </row>
    <row r="16" spans="1:20" x14ac:dyDescent="0.25">
      <c r="A16" t="str">
        <f>IF(Draft_Import!$D16=A$1,COUNTIF(Draft_Import!$D$2:'Draft_Import'!$D16,A$1),"")</f>
        <v/>
      </c>
      <c r="B16" t="str">
        <f>IFERROR(INDEX(Draft_Import!$E$2:$E$250,MATCH(ROWS(B$2:B16),A$2:A$250,0)),"")</f>
        <v/>
      </c>
      <c r="C16" t="str">
        <f>IF(Draft_Import!$D16=C$1,COUNTIF(Draft_Import!$D$2:'Draft_Import'!$D16,C$1),"")</f>
        <v/>
      </c>
      <c r="D16" t="str">
        <f>IFERROR(INDEX(Draft_Import!$E$2:$E$250,MATCH(ROWS(D$2:D16),C$2:C$250,0)),"")</f>
        <v/>
      </c>
      <c r="E16" t="str">
        <f>IF(Draft_Import!$D16=E$1,COUNTIF(Draft_Import!$D$2:'Draft_Import'!$D16,E$1),"")</f>
        <v/>
      </c>
      <c r="F16" t="str">
        <f>IFERROR(INDEX(Draft_Import!$E$2:$E$250,MATCH(ROWS(F$2:F16),E$2:E$250,0)),"")</f>
        <v/>
      </c>
      <c r="G16" t="str">
        <f>IF(Draft_Import!$D16=G$1,COUNTIF(Draft_Import!$D$2:'Draft_Import'!$D16,G$1),"")</f>
        <v/>
      </c>
      <c r="H16" t="str">
        <f>IFERROR(INDEX(Draft_Import!$E$2:$E$250,MATCH(ROWS(H$2:H16),G$2:G$250,0)),"")</f>
        <v/>
      </c>
      <c r="I16" t="str">
        <f>IF(Draft_Import!$D16=I$1,COUNTIF(Draft_Import!$D$2:'Draft_Import'!$D16,I$1),"")</f>
        <v/>
      </c>
      <c r="J16" t="str">
        <f>IFERROR(INDEX(Draft_Import!$E$2:$E$250,MATCH(ROWS(J$2:J16),I$2:I$250,0)),"")</f>
        <v/>
      </c>
      <c r="K16">
        <f>IF(Draft_Import!$D16=K$1,COUNTIF(Draft_Import!$D$2:'Draft_Import'!$D16,K$1),"")</f>
        <v>2</v>
      </c>
      <c r="L16" t="str">
        <f>IFERROR(INDEX(Draft_Import!$E$2:$E$250,MATCH(ROWS(L$2:L16),K$2:K$250,0)),"")</f>
        <v/>
      </c>
      <c r="M16" t="str">
        <f>IF(Draft_Import!$D16=M$1,COUNTIF(Draft_Import!$D$2:'Draft_Import'!$D16,M$1),"")</f>
        <v/>
      </c>
      <c r="N16" t="str">
        <f>IFERROR(INDEX(Draft_Import!$E$2:$E$250,MATCH(ROWS(N$2:N16),M$2:M$250,0)),"")</f>
        <v/>
      </c>
      <c r="O16" t="str">
        <f>IF(Draft_Import!$D16=O$1,COUNTIF(Draft_Import!$D$2:'Draft_Import'!$D16,O$1),"")</f>
        <v/>
      </c>
      <c r="P16" t="str">
        <f>IFERROR(INDEX(Draft_Import!$E$2:$E$250,MATCH(ROWS(P$2:P16),O$2:O$250,0)),"")</f>
        <v/>
      </c>
      <c r="Q16" t="str">
        <f>IF(Draft_Import!$D16=Q$1,COUNTIF(Draft_Import!$D$2:'Draft_Import'!$D16,Q$1),"")</f>
        <v/>
      </c>
      <c r="R16" t="str">
        <f>IFERROR(INDEX(Draft_Import!$E$2:$E$250,MATCH(ROWS(R$2:R16),Q$2:Q$250,0)),"")</f>
        <v/>
      </c>
      <c r="S16" t="str">
        <f>IF(Draft_Import!$D16=S$1,COUNTIF(Draft_Import!$D$2:'Draft_Import'!$D16,S$1),"")</f>
        <v/>
      </c>
      <c r="T16" t="str">
        <f>IFERROR(INDEX(Draft_Import!$E$2:$E$250,MATCH(ROWS(T$2:T16),S$2:S$250,0)),"")</f>
        <v/>
      </c>
    </row>
    <row r="17" spans="1:20" x14ac:dyDescent="0.25">
      <c r="A17" t="str">
        <f>IF(Draft_Import!$D17=A$1,COUNTIF(Draft_Import!$D$2:'Draft_Import'!$D17,A$1),"")</f>
        <v/>
      </c>
      <c r="B17" t="str">
        <f>IFERROR(INDEX(Draft_Import!$E$2:$E$250,MATCH(ROWS(B$2:B17),A$2:A$250,0)),"")</f>
        <v/>
      </c>
      <c r="C17" t="str">
        <f>IF(Draft_Import!$D17=C$1,COUNTIF(Draft_Import!$D$2:'Draft_Import'!$D17,C$1),"")</f>
        <v/>
      </c>
      <c r="D17" t="str">
        <f>IFERROR(INDEX(Draft_Import!$E$2:$E$250,MATCH(ROWS(D$2:D17),C$2:C$250,0)),"")</f>
        <v/>
      </c>
      <c r="E17" t="str">
        <f>IF(Draft_Import!$D17=E$1,COUNTIF(Draft_Import!$D$2:'Draft_Import'!$D17,E$1),"")</f>
        <v/>
      </c>
      <c r="F17" t="str">
        <f>IFERROR(INDEX(Draft_Import!$E$2:$E$250,MATCH(ROWS(F$2:F17),E$2:E$250,0)),"")</f>
        <v/>
      </c>
      <c r="G17" t="str">
        <f>IF(Draft_Import!$D17=G$1,COUNTIF(Draft_Import!$D$2:'Draft_Import'!$D17,G$1),"")</f>
        <v/>
      </c>
      <c r="H17" t="str">
        <f>IFERROR(INDEX(Draft_Import!$E$2:$E$250,MATCH(ROWS(H$2:H17),G$2:G$250,0)),"")</f>
        <v/>
      </c>
      <c r="I17">
        <f>IF(Draft_Import!$D17=I$1,COUNTIF(Draft_Import!$D$2:'Draft_Import'!$D17,I$1),"")</f>
        <v>2</v>
      </c>
      <c r="J17" t="str">
        <f>IFERROR(INDEX(Draft_Import!$E$2:$E$250,MATCH(ROWS(J$2:J17),I$2:I$250,0)),"")</f>
        <v/>
      </c>
      <c r="K17" t="str">
        <f>IF(Draft_Import!$D17=K$1,COUNTIF(Draft_Import!$D$2:'Draft_Import'!$D17,K$1),"")</f>
        <v/>
      </c>
      <c r="L17" t="str">
        <f>IFERROR(INDEX(Draft_Import!$E$2:$E$250,MATCH(ROWS(L$2:L17),K$2:K$250,0)),"")</f>
        <v/>
      </c>
      <c r="M17" t="str">
        <f>IF(Draft_Import!$D17=M$1,COUNTIF(Draft_Import!$D$2:'Draft_Import'!$D17,M$1),"")</f>
        <v/>
      </c>
      <c r="N17" t="str">
        <f>IFERROR(INDEX(Draft_Import!$E$2:$E$250,MATCH(ROWS(N$2:N17),M$2:M$250,0)),"")</f>
        <v/>
      </c>
      <c r="O17" t="str">
        <f>IF(Draft_Import!$D17=O$1,COUNTIF(Draft_Import!$D$2:'Draft_Import'!$D17,O$1),"")</f>
        <v/>
      </c>
      <c r="P17" t="str">
        <f>IFERROR(INDEX(Draft_Import!$E$2:$E$250,MATCH(ROWS(P$2:P17),O$2:O$250,0)),"")</f>
        <v/>
      </c>
      <c r="Q17" t="str">
        <f>IF(Draft_Import!$D17=Q$1,COUNTIF(Draft_Import!$D$2:'Draft_Import'!$D17,Q$1),"")</f>
        <v/>
      </c>
      <c r="R17" t="str">
        <f>IFERROR(INDEX(Draft_Import!$E$2:$E$250,MATCH(ROWS(R$2:R17),Q$2:Q$250,0)),"")</f>
        <v/>
      </c>
      <c r="S17" t="str">
        <f>IF(Draft_Import!$D17=S$1,COUNTIF(Draft_Import!$D$2:'Draft_Import'!$D17,S$1),"")</f>
        <v/>
      </c>
      <c r="T17" t="str">
        <f>IFERROR(INDEX(Draft_Import!$E$2:$E$250,MATCH(ROWS(T$2:T17),S$2:S$250,0)),"")</f>
        <v/>
      </c>
    </row>
    <row r="18" spans="1:20" x14ac:dyDescent="0.25">
      <c r="A18" t="str">
        <f>IF(Draft_Import!$D18=A$1,COUNTIF(Draft_Import!$D$2:'Draft_Import'!$D18,A$1),"")</f>
        <v/>
      </c>
      <c r="B18" t="str">
        <f>IFERROR(INDEX(Draft_Import!$E$2:$E$250,MATCH(ROWS(B$2:B18),A$2:A$250,0)),"")</f>
        <v/>
      </c>
      <c r="C18" t="str">
        <f>IF(Draft_Import!$D18=C$1,COUNTIF(Draft_Import!$D$2:'Draft_Import'!$D18,C$1),"")</f>
        <v/>
      </c>
      <c r="D18" t="str">
        <f>IFERROR(INDEX(Draft_Import!$E$2:$E$250,MATCH(ROWS(D$2:D18),C$2:C$250,0)),"")</f>
        <v/>
      </c>
      <c r="E18" t="str">
        <f>IF(Draft_Import!$D18=E$1,COUNTIF(Draft_Import!$D$2:'Draft_Import'!$D18,E$1),"")</f>
        <v/>
      </c>
      <c r="F18" t="str">
        <f>IFERROR(INDEX(Draft_Import!$E$2:$E$250,MATCH(ROWS(F$2:F18),E$2:E$250,0)),"")</f>
        <v/>
      </c>
      <c r="G18">
        <f>IF(Draft_Import!$D18=G$1,COUNTIF(Draft_Import!$D$2:'Draft_Import'!$D18,G$1),"")</f>
        <v>2</v>
      </c>
      <c r="H18" t="str">
        <f>IFERROR(INDEX(Draft_Import!$E$2:$E$250,MATCH(ROWS(H$2:H18),G$2:G$250,0)),"")</f>
        <v/>
      </c>
      <c r="I18" t="str">
        <f>IF(Draft_Import!$D18=I$1,COUNTIF(Draft_Import!$D$2:'Draft_Import'!$D18,I$1),"")</f>
        <v/>
      </c>
      <c r="J18" t="str">
        <f>IFERROR(INDEX(Draft_Import!$E$2:$E$250,MATCH(ROWS(J$2:J18),I$2:I$250,0)),"")</f>
        <v/>
      </c>
      <c r="K18" t="str">
        <f>IF(Draft_Import!$D18=K$1,COUNTIF(Draft_Import!$D$2:'Draft_Import'!$D18,K$1),"")</f>
        <v/>
      </c>
      <c r="L18" t="str">
        <f>IFERROR(INDEX(Draft_Import!$E$2:$E$250,MATCH(ROWS(L$2:L18),K$2:K$250,0)),"")</f>
        <v/>
      </c>
      <c r="M18" t="str">
        <f>IF(Draft_Import!$D18=M$1,COUNTIF(Draft_Import!$D$2:'Draft_Import'!$D18,M$1),"")</f>
        <v/>
      </c>
      <c r="N18" t="str">
        <f>IFERROR(INDEX(Draft_Import!$E$2:$E$250,MATCH(ROWS(N$2:N18),M$2:M$250,0)),"")</f>
        <v/>
      </c>
      <c r="O18" t="str">
        <f>IF(Draft_Import!$D18=O$1,COUNTIF(Draft_Import!$D$2:'Draft_Import'!$D18,O$1),"")</f>
        <v/>
      </c>
      <c r="P18" t="str">
        <f>IFERROR(INDEX(Draft_Import!$E$2:$E$250,MATCH(ROWS(P$2:P18),O$2:O$250,0)),"")</f>
        <v/>
      </c>
      <c r="Q18" t="str">
        <f>IF(Draft_Import!$D18=Q$1,COUNTIF(Draft_Import!$D$2:'Draft_Import'!$D18,Q$1),"")</f>
        <v/>
      </c>
      <c r="R18" t="str">
        <f>IFERROR(INDEX(Draft_Import!$E$2:$E$250,MATCH(ROWS(R$2:R18),Q$2:Q$250,0)),"")</f>
        <v/>
      </c>
      <c r="S18" t="str">
        <f>IF(Draft_Import!$D18=S$1,COUNTIF(Draft_Import!$D$2:'Draft_Import'!$D18,S$1),"")</f>
        <v/>
      </c>
      <c r="T18" t="str">
        <f>IFERROR(INDEX(Draft_Import!$E$2:$E$250,MATCH(ROWS(T$2:T18),S$2:S$250,0)),"")</f>
        <v/>
      </c>
    </row>
    <row r="19" spans="1:20" x14ac:dyDescent="0.25">
      <c r="A19" t="str">
        <f>IF(Draft_Import!$D19=A$1,COUNTIF(Draft_Import!$D$2:'Draft_Import'!$D19,A$1),"")</f>
        <v/>
      </c>
      <c r="B19" t="str">
        <f>IFERROR(INDEX(Draft_Import!$E$2:$E$250,MATCH(ROWS(B$2:B19),A$2:A$250,0)),"")</f>
        <v/>
      </c>
      <c r="C19" t="str">
        <f>IF(Draft_Import!$D19=C$1,COUNTIF(Draft_Import!$D$2:'Draft_Import'!$D19,C$1),"")</f>
        <v/>
      </c>
      <c r="D19" t="str">
        <f>IFERROR(INDEX(Draft_Import!$E$2:$E$250,MATCH(ROWS(D$2:D19),C$2:C$250,0)),"")</f>
        <v/>
      </c>
      <c r="E19">
        <f>IF(Draft_Import!$D19=E$1,COUNTIF(Draft_Import!$D$2:'Draft_Import'!$D19,E$1),"")</f>
        <v>2</v>
      </c>
      <c r="F19" t="str">
        <f>IFERROR(INDEX(Draft_Import!$E$2:$E$250,MATCH(ROWS(F$2:F19),E$2:E$250,0)),"")</f>
        <v/>
      </c>
      <c r="G19" t="str">
        <f>IF(Draft_Import!$D19=G$1,COUNTIF(Draft_Import!$D$2:'Draft_Import'!$D19,G$1),"")</f>
        <v/>
      </c>
      <c r="H19" t="str">
        <f>IFERROR(INDEX(Draft_Import!$E$2:$E$250,MATCH(ROWS(H$2:H19),G$2:G$250,0)),"")</f>
        <v/>
      </c>
      <c r="I19" t="str">
        <f>IF(Draft_Import!$D19=I$1,COUNTIF(Draft_Import!$D$2:'Draft_Import'!$D19,I$1),"")</f>
        <v/>
      </c>
      <c r="J19" t="str">
        <f>IFERROR(INDEX(Draft_Import!$E$2:$E$250,MATCH(ROWS(J$2:J19),I$2:I$250,0)),"")</f>
        <v/>
      </c>
      <c r="K19" t="str">
        <f>IF(Draft_Import!$D19=K$1,COUNTIF(Draft_Import!$D$2:'Draft_Import'!$D19,K$1),"")</f>
        <v/>
      </c>
      <c r="L19" t="str">
        <f>IFERROR(INDEX(Draft_Import!$E$2:$E$250,MATCH(ROWS(L$2:L19),K$2:K$250,0)),"")</f>
        <v/>
      </c>
      <c r="M19" t="str">
        <f>IF(Draft_Import!$D19=M$1,COUNTIF(Draft_Import!$D$2:'Draft_Import'!$D19,M$1),"")</f>
        <v/>
      </c>
      <c r="N19" t="str">
        <f>IFERROR(INDEX(Draft_Import!$E$2:$E$250,MATCH(ROWS(N$2:N19),M$2:M$250,0)),"")</f>
        <v/>
      </c>
      <c r="O19" t="str">
        <f>IF(Draft_Import!$D19=O$1,COUNTIF(Draft_Import!$D$2:'Draft_Import'!$D19,O$1),"")</f>
        <v/>
      </c>
      <c r="P19" t="str">
        <f>IFERROR(INDEX(Draft_Import!$E$2:$E$250,MATCH(ROWS(P$2:P19),O$2:O$250,0)),"")</f>
        <v/>
      </c>
      <c r="Q19" t="str">
        <f>IF(Draft_Import!$D19=Q$1,COUNTIF(Draft_Import!$D$2:'Draft_Import'!$D19,Q$1),"")</f>
        <v/>
      </c>
      <c r="R19" t="str">
        <f>IFERROR(INDEX(Draft_Import!$E$2:$E$250,MATCH(ROWS(R$2:R19),Q$2:Q$250,0)),"")</f>
        <v/>
      </c>
      <c r="S19" t="str">
        <f>IF(Draft_Import!$D19=S$1,COUNTIF(Draft_Import!$D$2:'Draft_Import'!$D19,S$1),"")</f>
        <v/>
      </c>
      <c r="T19" t="str">
        <f>IFERROR(INDEX(Draft_Import!$E$2:$E$250,MATCH(ROWS(T$2:T19),S$2:S$250,0)),"")</f>
        <v/>
      </c>
    </row>
    <row r="20" spans="1:20" x14ac:dyDescent="0.25">
      <c r="A20" t="str">
        <f>IF(Draft_Import!$D20=A$1,COUNTIF(Draft_Import!$D$2:'Draft_Import'!$D20,A$1),"")</f>
        <v/>
      </c>
      <c r="B20" t="str">
        <f>IFERROR(INDEX(Draft_Import!$E$2:$E$250,MATCH(ROWS(B$2:B20),A$2:A$250,0)),"")</f>
        <v/>
      </c>
      <c r="C20">
        <f>IF(Draft_Import!$D20=C$1,COUNTIF(Draft_Import!$D$2:'Draft_Import'!$D20,C$1),"")</f>
        <v>2</v>
      </c>
      <c r="D20" t="str">
        <f>IFERROR(INDEX(Draft_Import!$E$2:$E$250,MATCH(ROWS(D$2:D20),C$2:C$250,0)),"")</f>
        <v/>
      </c>
      <c r="E20" t="str">
        <f>IF(Draft_Import!$D20=E$1,COUNTIF(Draft_Import!$D$2:'Draft_Import'!$D20,E$1),"")</f>
        <v/>
      </c>
      <c r="F20" t="str">
        <f>IFERROR(INDEX(Draft_Import!$E$2:$E$250,MATCH(ROWS(F$2:F20),E$2:E$250,0)),"")</f>
        <v/>
      </c>
      <c r="G20" t="str">
        <f>IF(Draft_Import!$D20=G$1,COUNTIF(Draft_Import!$D$2:'Draft_Import'!$D20,G$1),"")</f>
        <v/>
      </c>
      <c r="H20" t="str">
        <f>IFERROR(INDEX(Draft_Import!$E$2:$E$250,MATCH(ROWS(H$2:H20),G$2:G$250,0)),"")</f>
        <v/>
      </c>
      <c r="I20" t="str">
        <f>IF(Draft_Import!$D20=I$1,COUNTIF(Draft_Import!$D$2:'Draft_Import'!$D20,I$1),"")</f>
        <v/>
      </c>
      <c r="J20" t="str">
        <f>IFERROR(INDEX(Draft_Import!$E$2:$E$250,MATCH(ROWS(J$2:J20),I$2:I$250,0)),"")</f>
        <v/>
      </c>
      <c r="K20" t="str">
        <f>IF(Draft_Import!$D20=K$1,COUNTIF(Draft_Import!$D$2:'Draft_Import'!$D20,K$1),"")</f>
        <v/>
      </c>
      <c r="L20" t="str">
        <f>IFERROR(INDEX(Draft_Import!$E$2:$E$250,MATCH(ROWS(L$2:L20),K$2:K$250,0)),"")</f>
        <v/>
      </c>
      <c r="M20" t="str">
        <f>IF(Draft_Import!$D20=M$1,COUNTIF(Draft_Import!$D$2:'Draft_Import'!$D20,M$1),"")</f>
        <v/>
      </c>
      <c r="N20" t="str">
        <f>IFERROR(INDEX(Draft_Import!$E$2:$E$250,MATCH(ROWS(N$2:N20),M$2:M$250,0)),"")</f>
        <v/>
      </c>
      <c r="O20" t="str">
        <f>IF(Draft_Import!$D20=O$1,COUNTIF(Draft_Import!$D$2:'Draft_Import'!$D20,O$1),"")</f>
        <v/>
      </c>
      <c r="P20" t="str">
        <f>IFERROR(INDEX(Draft_Import!$E$2:$E$250,MATCH(ROWS(P$2:P20),O$2:O$250,0)),"")</f>
        <v/>
      </c>
      <c r="Q20" t="str">
        <f>IF(Draft_Import!$D20=Q$1,COUNTIF(Draft_Import!$D$2:'Draft_Import'!$D20,Q$1),"")</f>
        <v/>
      </c>
      <c r="R20" t="str">
        <f>IFERROR(INDEX(Draft_Import!$E$2:$E$250,MATCH(ROWS(R$2:R20),Q$2:Q$250,0)),"")</f>
        <v/>
      </c>
      <c r="S20" t="str">
        <f>IF(Draft_Import!$D20=S$1,COUNTIF(Draft_Import!$D$2:'Draft_Import'!$D20,S$1),"")</f>
        <v/>
      </c>
      <c r="T20" t="str">
        <f>IFERROR(INDEX(Draft_Import!$E$2:$E$250,MATCH(ROWS(T$2:T20),S$2:S$250,0)),"")</f>
        <v/>
      </c>
    </row>
    <row r="21" spans="1:20" x14ac:dyDescent="0.25">
      <c r="A21">
        <f>IF(Draft_Import!$D21=A$1,COUNTIF(Draft_Import!$D$2:'Draft_Import'!$D21,A$1),"")</f>
        <v>2</v>
      </c>
      <c r="B21" t="str">
        <f>IFERROR(INDEX(Draft_Import!$E$2:$E$250,MATCH(ROWS(B$2:B21),A$2:A$250,0)),"")</f>
        <v/>
      </c>
      <c r="C21" t="str">
        <f>IF(Draft_Import!$D21=C$1,COUNTIF(Draft_Import!$D$2:'Draft_Import'!$D21,C$1),"")</f>
        <v/>
      </c>
      <c r="D21" t="str">
        <f>IFERROR(INDEX(Draft_Import!$E$2:$E$250,MATCH(ROWS(D$2:D21),C$2:C$250,0)),"")</f>
        <v/>
      </c>
      <c r="E21" t="str">
        <f>IF(Draft_Import!$D21=E$1,COUNTIF(Draft_Import!$D$2:'Draft_Import'!$D21,E$1),"")</f>
        <v/>
      </c>
      <c r="F21" t="str">
        <f>IFERROR(INDEX(Draft_Import!$E$2:$E$250,MATCH(ROWS(F$2:F21),E$2:E$250,0)),"")</f>
        <v/>
      </c>
      <c r="G21" t="str">
        <f>IF(Draft_Import!$D21=G$1,COUNTIF(Draft_Import!$D$2:'Draft_Import'!$D21,G$1),"")</f>
        <v/>
      </c>
      <c r="H21" t="str">
        <f>IFERROR(INDEX(Draft_Import!$E$2:$E$250,MATCH(ROWS(H$2:H21),G$2:G$250,0)),"")</f>
        <v/>
      </c>
      <c r="I21" t="str">
        <f>IF(Draft_Import!$D21=I$1,COUNTIF(Draft_Import!$D$2:'Draft_Import'!$D21,I$1),"")</f>
        <v/>
      </c>
      <c r="J21" t="str">
        <f>IFERROR(INDEX(Draft_Import!$E$2:$E$250,MATCH(ROWS(J$2:J21),I$2:I$250,0)),"")</f>
        <v/>
      </c>
      <c r="K21" t="str">
        <f>IF(Draft_Import!$D21=K$1,COUNTIF(Draft_Import!$D$2:'Draft_Import'!$D21,K$1),"")</f>
        <v/>
      </c>
      <c r="L21" t="str">
        <f>IFERROR(INDEX(Draft_Import!$E$2:$E$250,MATCH(ROWS(L$2:L21),K$2:K$250,0)),"")</f>
        <v/>
      </c>
      <c r="M21" t="str">
        <f>IF(Draft_Import!$D21=M$1,COUNTIF(Draft_Import!$D$2:'Draft_Import'!$D21,M$1),"")</f>
        <v/>
      </c>
      <c r="N21" t="str">
        <f>IFERROR(INDEX(Draft_Import!$E$2:$E$250,MATCH(ROWS(N$2:N21),M$2:M$250,0)),"")</f>
        <v/>
      </c>
      <c r="O21" t="str">
        <f>IF(Draft_Import!$D21=O$1,COUNTIF(Draft_Import!$D$2:'Draft_Import'!$D21,O$1),"")</f>
        <v/>
      </c>
      <c r="P21" t="str">
        <f>IFERROR(INDEX(Draft_Import!$E$2:$E$250,MATCH(ROWS(P$2:P21),O$2:O$250,0)),"")</f>
        <v/>
      </c>
      <c r="Q21" t="str">
        <f>IF(Draft_Import!$D21=Q$1,COUNTIF(Draft_Import!$D$2:'Draft_Import'!$D21,Q$1),"")</f>
        <v/>
      </c>
      <c r="R21" t="str">
        <f>IFERROR(INDEX(Draft_Import!$E$2:$E$250,MATCH(ROWS(R$2:R21),Q$2:Q$250,0)),"")</f>
        <v/>
      </c>
      <c r="S21" t="str">
        <f>IF(Draft_Import!$D21=S$1,COUNTIF(Draft_Import!$D$2:'Draft_Import'!$D21,S$1),"")</f>
        <v/>
      </c>
      <c r="T21" t="str">
        <f>IFERROR(INDEX(Draft_Import!$E$2:$E$250,MATCH(ROWS(T$2:T21),S$2:S$250,0)),"")</f>
        <v/>
      </c>
    </row>
    <row r="22" spans="1:20" x14ac:dyDescent="0.25">
      <c r="A22">
        <f>IF(Draft_Import!$D22=A$1,COUNTIF(Draft_Import!$D$2:'Draft_Import'!$D22,A$1),"")</f>
        <v>3</v>
      </c>
      <c r="C22" t="str">
        <f>IF(Draft_Import!$D22=C$1,COUNTIF(Draft_Import!$D$2:'Draft_Import'!$D22,C$1),"")</f>
        <v/>
      </c>
      <c r="E22" t="str">
        <f>IF(Draft_Import!$D22=E$1,COUNTIF(Draft_Import!$D$2:'Draft_Import'!$D22,E$1),"")</f>
        <v/>
      </c>
      <c r="G22" t="str">
        <f>IF(Draft_Import!$D22=G$1,COUNTIF(Draft_Import!$D$2:'Draft_Import'!$D22,G$1),"")</f>
        <v/>
      </c>
      <c r="I22" t="str">
        <f>IF(Draft_Import!$D22=I$1,COUNTIF(Draft_Import!$D$2:'Draft_Import'!$D22,I$1),"")</f>
        <v/>
      </c>
      <c r="K22" t="str">
        <f>IF(Draft_Import!$D22=K$1,COUNTIF(Draft_Import!$D$2:'Draft_Import'!$D22,K$1),"")</f>
        <v/>
      </c>
      <c r="M22" t="str">
        <f>IF(Draft_Import!$D22=M$1,COUNTIF(Draft_Import!$D$2:'Draft_Import'!$D22,M$1),"")</f>
        <v/>
      </c>
      <c r="O22" t="str">
        <f>IF(Draft_Import!$D22=O$1,COUNTIF(Draft_Import!$D$2:'Draft_Import'!$D22,O$1),"")</f>
        <v/>
      </c>
      <c r="Q22" t="str">
        <f>IF(Draft_Import!$D22=Q$1,COUNTIF(Draft_Import!$D$2:'Draft_Import'!$D22,Q$1),"")</f>
        <v/>
      </c>
      <c r="S22" t="str">
        <f>IF(Draft_Import!$D22=S$1,COUNTIF(Draft_Import!$D$2:'Draft_Import'!$D22,S$1),"")</f>
        <v/>
      </c>
    </row>
    <row r="23" spans="1:20" x14ac:dyDescent="0.25">
      <c r="A23" t="str">
        <f>IF(Draft_Import!$D23=A$1,COUNTIF(Draft_Import!$D$2:'Draft_Import'!$D23,A$1),"")</f>
        <v/>
      </c>
      <c r="C23">
        <f>IF(Draft_Import!$D23=C$1,COUNTIF(Draft_Import!$D$2:'Draft_Import'!$D23,C$1),"")</f>
        <v>3</v>
      </c>
      <c r="E23" t="str">
        <f>IF(Draft_Import!$D23=E$1,COUNTIF(Draft_Import!$D$2:'Draft_Import'!$D23,E$1),"")</f>
        <v/>
      </c>
      <c r="G23" t="str">
        <f>IF(Draft_Import!$D23=G$1,COUNTIF(Draft_Import!$D$2:'Draft_Import'!$D23,G$1),"")</f>
        <v/>
      </c>
      <c r="I23" t="str">
        <f>IF(Draft_Import!$D23=I$1,COUNTIF(Draft_Import!$D$2:'Draft_Import'!$D23,I$1),"")</f>
        <v/>
      </c>
      <c r="K23" t="str">
        <f>IF(Draft_Import!$D23=K$1,COUNTIF(Draft_Import!$D$2:'Draft_Import'!$D23,K$1),"")</f>
        <v/>
      </c>
      <c r="M23" t="str">
        <f>IF(Draft_Import!$D23=M$1,COUNTIF(Draft_Import!$D$2:'Draft_Import'!$D23,M$1),"")</f>
        <v/>
      </c>
      <c r="O23" t="str">
        <f>IF(Draft_Import!$D23=O$1,COUNTIF(Draft_Import!$D$2:'Draft_Import'!$D23,O$1),"")</f>
        <v/>
      </c>
      <c r="Q23" t="str">
        <f>IF(Draft_Import!$D23=Q$1,COUNTIF(Draft_Import!$D$2:'Draft_Import'!$D23,Q$1),"")</f>
        <v/>
      </c>
      <c r="S23" t="str">
        <f>IF(Draft_Import!$D23=S$1,COUNTIF(Draft_Import!$D$2:'Draft_Import'!$D23,S$1),"")</f>
        <v/>
      </c>
    </row>
    <row r="24" spans="1:20" x14ac:dyDescent="0.25">
      <c r="A24" t="str">
        <f>IF(Draft_Import!$D24=A$1,COUNTIF(Draft_Import!$D$2:'Draft_Import'!$D24,A$1),"")</f>
        <v/>
      </c>
      <c r="C24" t="str">
        <f>IF(Draft_Import!$D24=C$1,COUNTIF(Draft_Import!$D$2:'Draft_Import'!$D24,C$1),"")</f>
        <v/>
      </c>
      <c r="E24">
        <f>IF(Draft_Import!$D24=E$1,COUNTIF(Draft_Import!$D$2:'Draft_Import'!$D24,E$1),"")</f>
        <v>3</v>
      </c>
      <c r="G24" t="str">
        <f>IF(Draft_Import!$D24=G$1,COUNTIF(Draft_Import!$D$2:'Draft_Import'!$D24,G$1),"")</f>
        <v/>
      </c>
      <c r="I24" t="str">
        <f>IF(Draft_Import!$D24=I$1,COUNTIF(Draft_Import!$D$2:'Draft_Import'!$D24,I$1),"")</f>
        <v/>
      </c>
      <c r="K24" t="str">
        <f>IF(Draft_Import!$D24=K$1,COUNTIF(Draft_Import!$D$2:'Draft_Import'!$D24,K$1),"")</f>
        <v/>
      </c>
      <c r="M24" t="str">
        <f>IF(Draft_Import!$D24=M$1,COUNTIF(Draft_Import!$D$2:'Draft_Import'!$D24,M$1),"")</f>
        <v/>
      </c>
      <c r="O24" t="str">
        <f>IF(Draft_Import!$D24=O$1,COUNTIF(Draft_Import!$D$2:'Draft_Import'!$D24,O$1),"")</f>
        <v/>
      </c>
      <c r="Q24" t="str">
        <f>IF(Draft_Import!$D24=Q$1,COUNTIF(Draft_Import!$D$2:'Draft_Import'!$D24,Q$1),"")</f>
        <v/>
      </c>
      <c r="S24" t="str">
        <f>IF(Draft_Import!$D24=S$1,COUNTIF(Draft_Import!$D$2:'Draft_Import'!$D24,S$1),"")</f>
        <v/>
      </c>
    </row>
    <row r="25" spans="1:20" x14ac:dyDescent="0.25">
      <c r="A25" t="str">
        <f>IF(Draft_Import!$D25=A$1,COUNTIF(Draft_Import!$D$2:'Draft_Import'!$D25,A$1),"")</f>
        <v/>
      </c>
      <c r="C25" t="str">
        <f>IF(Draft_Import!$D25=C$1,COUNTIF(Draft_Import!$D$2:'Draft_Import'!$D25,C$1),"")</f>
        <v/>
      </c>
      <c r="E25" t="str">
        <f>IF(Draft_Import!$D25=E$1,COUNTIF(Draft_Import!$D$2:'Draft_Import'!$D25,E$1),"")</f>
        <v/>
      </c>
      <c r="G25">
        <f>IF(Draft_Import!$D25=G$1,COUNTIF(Draft_Import!$D$2:'Draft_Import'!$D25,G$1),"")</f>
        <v>3</v>
      </c>
      <c r="I25" t="str">
        <f>IF(Draft_Import!$D25=I$1,COUNTIF(Draft_Import!$D$2:'Draft_Import'!$D25,I$1),"")</f>
        <v/>
      </c>
      <c r="K25" t="str">
        <f>IF(Draft_Import!$D25=K$1,COUNTIF(Draft_Import!$D$2:'Draft_Import'!$D25,K$1),"")</f>
        <v/>
      </c>
      <c r="M25" t="str">
        <f>IF(Draft_Import!$D25=M$1,COUNTIF(Draft_Import!$D$2:'Draft_Import'!$D25,M$1),"")</f>
        <v/>
      </c>
      <c r="O25" t="str">
        <f>IF(Draft_Import!$D25=O$1,COUNTIF(Draft_Import!$D$2:'Draft_Import'!$D25,O$1),"")</f>
        <v/>
      </c>
      <c r="Q25" t="str">
        <f>IF(Draft_Import!$D25=Q$1,COUNTIF(Draft_Import!$D$2:'Draft_Import'!$D25,Q$1),"")</f>
        <v/>
      </c>
      <c r="S25" t="str">
        <f>IF(Draft_Import!$D25=S$1,COUNTIF(Draft_Import!$D$2:'Draft_Import'!$D25,S$1),"")</f>
        <v/>
      </c>
    </row>
    <row r="26" spans="1:20" x14ac:dyDescent="0.25">
      <c r="A26" t="str">
        <f>IF(Draft_Import!$D26=A$1,COUNTIF(Draft_Import!$D$2:'Draft_Import'!$D26,A$1),"")</f>
        <v/>
      </c>
      <c r="C26" t="str">
        <f>IF(Draft_Import!$D26=C$1,COUNTIF(Draft_Import!$D$2:'Draft_Import'!$D26,C$1),"")</f>
        <v/>
      </c>
      <c r="E26" t="str">
        <f>IF(Draft_Import!$D26=E$1,COUNTIF(Draft_Import!$D$2:'Draft_Import'!$D26,E$1),"")</f>
        <v/>
      </c>
      <c r="G26" t="str">
        <f>IF(Draft_Import!$D26=G$1,COUNTIF(Draft_Import!$D$2:'Draft_Import'!$D26,G$1),"")</f>
        <v/>
      </c>
      <c r="I26">
        <f>IF(Draft_Import!$D26=I$1,COUNTIF(Draft_Import!$D$2:'Draft_Import'!$D26,I$1),"")</f>
        <v>3</v>
      </c>
      <c r="K26" t="str">
        <f>IF(Draft_Import!$D26=K$1,COUNTIF(Draft_Import!$D$2:'Draft_Import'!$D26,K$1),"")</f>
        <v/>
      </c>
      <c r="M26" t="str">
        <f>IF(Draft_Import!$D26=M$1,COUNTIF(Draft_Import!$D$2:'Draft_Import'!$D26,M$1),"")</f>
        <v/>
      </c>
      <c r="O26" t="str">
        <f>IF(Draft_Import!$D26=O$1,COUNTIF(Draft_Import!$D$2:'Draft_Import'!$D26,O$1),"")</f>
        <v/>
      </c>
      <c r="Q26" t="str">
        <f>IF(Draft_Import!$D26=Q$1,COUNTIF(Draft_Import!$D$2:'Draft_Import'!$D26,Q$1),"")</f>
        <v/>
      </c>
      <c r="S26" t="str">
        <f>IF(Draft_Import!$D26=S$1,COUNTIF(Draft_Import!$D$2:'Draft_Import'!$D26,S$1),"")</f>
        <v/>
      </c>
    </row>
    <row r="27" spans="1:20" x14ac:dyDescent="0.25">
      <c r="A27" t="str">
        <f>IF(Draft_Import!$D27=A$1,COUNTIF(Draft_Import!$D$2:'Draft_Import'!$D27,A$1),"")</f>
        <v/>
      </c>
      <c r="C27" t="str">
        <f>IF(Draft_Import!$D27=C$1,COUNTIF(Draft_Import!$D$2:'Draft_Import'!$D27,C$1),"")</f>
        <v/>
      </c>
      <c r="E27" t="str">
        <f>IF(Draft_Import!$D27=E$1,COUNTIF(Draft_Import!$D$2:'Draft_Import'!$D27,E$1),"")</f>
        <v/>
      </c>
      <c r="G27" t="str">
        <f>IF(Draft_Import!$D27=G$1,COUNTIF(Draft_Import!$D$2:'Draft_Import'!$D27,G$1),"")</f>
        <v/>
      </c>
      <c r="I27" t="str">
        <f>IF(Draft_Import!$D27=I$1,COUNTIF(Draft_Import!$D$2:'Draft_Import'!$D27,I$1),"")</f>
        <v/>
      </c>
      <c r="K27">
        <f>IF(Draft_Import!$D27=K$1,COUNTIF(Draft_Import!$D$2:'Draft_Import'!$D27,K$1),"")</f>
        <v>3</v>
      </c>
      <c r="M27" t="str">
        <f>IF(Draft_Import!$D27=M$1,COUNTIF(Draft_Import!$D$2:'Draft_Import'!$D27,M$1),"")</f>
        <v/>
      </c>
      <c r="O27" t="str">
        <f>IF(Draft_Import!$D27=O$1,COUNTIF(Draft_Import!$D$2:'Draft_Import'!$D27,O$1),"")</f>
        <v/>
      </c>
      <c r="Q27" t="str">
        <f>IF(Draft_Import!$D27=Q$1,COUNTIF(Draft_Import!$D$2:'Draft_Import'!$D27,Q$1),"")</f>
        <v/>
      </c>
      <c r="S27" t="str">
        <f>IF(Draft_Import!$D27=S$1,COUNTIF(Draft_Import!$D$2:'Draft_Import'!$D27,S$1),"")</f>
        <v/>
      </c>
    </row>
    <row r="28" spans="1:20" x14ac:dyDescent="0.25">
      <c r="A28" t="str">
        <f>IF(Draft_Import!$D28=A$1,COUNTIF(Draft_Import!$D$2:'Draft_Import'!$D28,A$1),"")</f>
        <v/>
      </c>
      <c r="C28" t="str">
        <f>IF(Draft_Import!$D28=C$1,COUNTIF(Draft_Import!$D$2:'Draft_Import'!$D28,C$1),"")</f>
        <v/>
      </c>
      <c r="E28" t="str">
        <f>IF(Draft_Import!$D28=E$1,COUNTIF(Draft_Import!$D$2:'Draft_Import'!$D28,E$1),"")</f>
        <v/>
      </c>
      <c r="G28" t="str">
        <f>IF(Draft_Import!$D28=G$1,COUNTIF(Draft_Import!$D$2:'Draft_Import'!$D28,G$1),"")</f>
        <v/>
      </c>
      <c r="I28" t="str">
        <f>IF(Draft_Import!$D28=I$1,COUNTIF(Draft_Import!$D$2:'Draft_Import'!$D28,I$1),"")</f>
        <v/>
      </c>
      <c r="K28" t="str">
        <f>IF(Draft_Import!$D28=K$1,COUNTIF(Draft_Import!$D$2:'Draft_Import'!$D28,K$1),"")</f>
        <v/>
      </c>
      <c r="M28">
        <f>IF(Draft_Import!$D28=M$1,COUNTIF(Draft_Import!$D$2:'Draft_Import'!$D28,M$1),"")</f>
        <v>3</v>
      </c>
      <c r="O28" t="str">
        <f>IF(Draft_Import!$D28=O$1,COUNTIF(Draft_Import!$D$2:'Draft_Import'!$D28,O$1),"")</f>
        <v/>
      </c>
      <c r="Q28" t="str">
        <f>IF(Draft_Import!$D28=Q$1,COUNTIF(Draft_Import!$D$2:'Draft_Import'!$D28,Q$1),"")</f>
        <v/>
      </c>
      <c r="S28" t="str">
        <f>IF(Draft_Import!$D28=S$1,COUNTIF(Draft_Import!$D$2:'Draft_Import'!$D28,S$1),"")</f>
        <v/>
      </c>
    </row>
    <row r="29" spans="1:20" x14ac:dyDescent="0.25">
      <c r="A29" t="str">
        <f>IF(Draft_Import!$D29=A$1,COUNTIF(Draft_Import!$D$2:'Draft_Import'!$D29,A$1),"")</f>
        <v/>
      </c>
      <c r="C29" t="str">
        <f>IF(Draft_Import!$D29=C$1,COUNTIF(Draft_Import!$D$2:'Draft_Import'!$D29,C$1),"")</f>
        <v/>
      </c>
      <c r="E29" t="str">
        <f>IF(Draft_Import!$D29=E$1,COUNTIF(Draft_Import!$D$2:'Draft_Import'!$D29,E$1),"")</f>
        <v/>
      </c>
      <c r="G29" t="str">
        <f>IF(Draft_Import!$D29=G$1,COUNTIF(Draft_Import!$D$2:'Draft_Import'!$D29,G$1),"")</f>
        <v/>
      </c>
      <c r="I29" t="str">
        <f>IF(Draft_Import!$D29=I$1,COUNTIF(Draft_Import!$D$2:'Draft_Import'!$D29,I$1),"")</f>
        <v/>
      </c>
      <c r="K29" t="str">
        <f>IF(Draft_Import!$D29=K$1,COUNTIF(Draft_Import!$D$2:'Draft_Import'!$D29,K$1),"")</f>
        <v/>
      </c>
      <c r="M29" t="str">
        <f>IF(Draft_Import!$D29=M$1,COUNTIF(Draft_Import!$D$2:'Draft_Import'!$D29,M$1),"")</f>
        <v/>
      </c>
      <c r="O29">
        <f>IF(Draft_Import!$D29=O$1,COUNTIF(Draft_Import!$D$2:'Draft_Import'!$D29,O$1),"")</f>
        <v>3</v>
      </c>
      <c r="Q29" t="str">
        <f>IF(Draft_Import!$D29=Q$1,COUNTIF(Draft_Import!$D$2:'Draft_Import'!$D29,Q$1),"")</f>
        <v/>
      </c>
      <c r="S29" t="str">
        <f>IF(Draft_Import!$D29=S$1,COUNTIF(Draft_Import!$D$2:'Draft_Import'!$D29,S$1),"")</f>
        <v/>
      </c>
    </row>
    <row r="30" spans="1:20" x14ac:dyDescent="0.25">
      <c r="A30" t="str">
        <f>IF(Draft_Import!$D30=A$1,COUNTIF(Draft_Import!$D$2:'Draft_Import'!$D30,A$1),"")</f>
        <v/>
      </c>
      <c r="C30" t="str">
        <f>IF(Draft_Import!$D30=C$1,COUNTIF(Draft_Import!$D$2:'Draft_Import'!$D30,C$1),"")</f>
        <v/>
      </c>
      <c r="E30" t="str">
        <f>IF(Draft_Import!$D30=E$1,COUNTIF(Draft_Import!$D$2:'Draft_Import'!$D30,E$1),"")</f>
        <v/>
      </c>
      <c r="G30" t="str">
        <f>IF(Draft_Import!$D30=G$1,COUNTIF(Draft_Import!$D$2:'Draft_Import'!$D30,G$1),"")</f>
        <v/>
      </c>
      <c r="I30" t="str">
        <f>IF(Draft_Import!$D30=I$1,COUNTIF(Draft_Import!$D$2:'Draft_Import'!$D30,I$1),"")</f>
        <v/>
      </c>
      <c r="K30" t="str">
        <f>IF(Draft_Import!$D30=K$1,COUNTIF(Draft_Import!$D$2:'Draft_Import'!$D30,K$1),"")</f>
        <v/>
      </c>
      <c r="M30" t="str">
        <f>IF(Draft_Import!$D30=M$1,COUNTIF(Draft_Import!$D$2:'Draft_Import'!$D30,M$1),"")</f>
        <v/>
      </c>
      <c r="O30" t="str">
        <f>IF(Draft_Import!$D30=O$1,COUNTIF(Draft_Import!$D$2:'Draft_Import'!$D30,O$1),"")</f>
        <v/>
      </c>
      <c r="Q30">
        <f>IF(Draft_Import!$D30=Q$1,COUNTIF(Draft_Import!$D$2:'Draft_Import'!$D30,Q$1),"")</f>
        <v>3</v>
      </c>
      <c r="S30" t="str">
        <f>IF(Draft_Import!$D30=S$1,COUNTIF(Draft_Import!$D$2:'Draft_Import'!$D30,S$1),"")</f>
        <v/>
      </c>
    </row>
    <row r="31" spans="1:20" x14ac:dyDescent="0.25">
      <c r="A31" t="str">
        <f>IF(Draft_Import!$D31=A$1,COUNTIF(Draft_Import!$D$2:'Draft_Import'!$D31,A$1),"")</f>
        <v/>
      </c>
      <c r="C31" t="str">
        <f>IF(Draft_Import!$D31=C$1,COUNTIF(Draft_Import!$D$2:'Draft_Import'!$D31,C$1),"")</f>
        <v/>
      </c>
      <c r="E31" t="str">
        <f>IF(Draft_Import!$D31=E$1,COUNTIF(Draft_Import!$D$2:'Draft_Import'!$D31,E$1),"")</f>
        <v/>
      </c>
      <c r="G31" t="str">
        <f>IF(Draft_Import!$D31=G$1,COUNTIF(Draft_Import!$D$2:'Draft_Import'!$D31,G$1),"")</f>
        <v/>
      </c>
      <c r="I31" t="str">
        <f>IF(Draft_Import!$D31=I$1,COUNTIF(Draft_Import!$D$2:'Draft_Import'!$D31,I$1),"")</f>
        <v/>
      </c>
      <c r="K31" t="str">
        <f>IF(Draft_Import!$D31=K$1,COUNTIF(Draft_Import!$D$2:'Draft_Import'!$D31,K$1),"")</f>
        <v/>
      </c>
      <c r="M31" t="str">
        <f>IF(Draft_Import!$D31=M$1,COUNTIF(Draft_Import!$D$2:'Draft_Import'!$D31,M$1),"")</f>
        <v/>
      </c>
      <c r="O31" t="str">
        <f>IF(Draft_Import!$D31=O$1,COUNTIF(Draft_Import!$D$2:'Draft_Import'!$D31,O$1),"")</f>
        <v/>
      </c>
      <c r="Q31" t="str">
        <f>IF(Draft_Import!$D31=Q$1,COUNTIF(Draft_Import!$D$2:'Draft_Import'!$D31,Q$1),"")</f>
        <v/>
      </c>
      <c r="S31">
        <f>IF(Draft_Import!$D31=S$1,COUNTIF(Draft_Import!$D$2:'Draft_Import'!$D31,S$1),"")</f>
        <v>3</v>
      </c>
    </row>
    <row r="32" spans="1:20" x14ac:dyDescent="0.25">
      <c r="A32" t="str">
        <f>IF(Draft_Import!$D32=A$1,COUNTIF(Draft_Import!$D$2:'Draft_Import'!$D32,A$1),"")</f>
        <v/>
      </c>
      <c r="C32" t="str">
        <f>IF(Draft_Import!$D32=C$1,COUNTIF(Draft_Import!$D$2:'Draft_Import'!$D32,C$1),"")</f>
        <v/>
      </c>
      <c r="E32" t="str">
        <f>IF(Draft_Import!$D32=E$1,COUNTIF(Draft_Import!$D$2:'Draft_Import'!$D32,E$1),"")</f>
        <v/>
      </c>
      <c r="G32" t="str">
        <f>IF(Draft_Import!$D32=G$1,COUNTIF(Draft_Import!$D$2:'Draft_Import'!$D32,G$1),"")</f>
        <v/>
      </c>
      <c r="I32" t="str">
        <f>IF(Draft_Import!$D32=I$1,COUNTIF(Draft_Import!$D$2:'Draft_Import'!$D32,I$1),"")</f>
        <v/>
      </c>
      <c r="K32" t="str">
        <f>IF(Draft_Import!$D32=K$1,COUNTIF(Draft_Import!$D$2:'Draft_Import'!$D32,K$1),"")</f>
        <v/>
      </c>
      <c r="M32" t="str">
        <f>IF(Draft_Import!$D32=M$1,COUNTIF(Draft_Import!$D$2:'Draft_Import'!$D32,M$1),"")</f>
        <v/>
      </c>
      <c r="O32" t="str">
        <f>IF(Draft_Import!$D32=O$1,COUNTIF(Draft_Import!$D$2:'Draft_Import'!$D32,O$1),"")</f>
        <v/>
      </c>
      <c r="Q32" t="str">
        <f>IF(Draft_Import!$D32=Q$1,COUNTIF(Draft_Import!$D$2:'Draft_Import'!$D32,Q$1),"")</f>
        <v/>
      </c>
      <c r="S32">
        <f>IF(Draft_Import!$D32=S$1,COUNTIF(Draft_Import!$D$2:'Draft_Import'!$D32,S$1),"")</f>
        <v>4</v>
      </c>
    </row>
    <row r="33" spans="1:19" x14ac:dyDescent="0.25">
      <c r="A33" t="str">
        <f>IF(Draft_Import!$D33=A$1,COUNTIF(Draft_Import!$D$2:'Draft_Import'!$D33,A$1),"")</f>
        <v/>
      </c>
      <c r="C33" t="str">
        <f>IF(Draft_Import!$D33=C$1,COUNTIF(Draft_Import!$D$2:'Draft_Import'!$D33,C$1),"")</f>
        <v/>
      </c>
      <c r="E33" t="str">
        <f>IF(Draft_Import!$D33=E$1,COUNTIF(Draft_Import!$D$2:'Draft_Import'!$D33,E$1),"")</f>
        <v/>
      </c>
      <c r="G33" t="str">
        <f>IF(Draft_Import!$D33=G$1,COUNTIF(Draft_Import!$D$2:'Draft_Import'!$D33,G$1),"")</f>
        <v/>
      </c>
      <c r="I33" t="str">
        <f>IF(Draft_Import!$D33=I$1,COUNTIF(Draft_Import!$D$2:'Draft_Import'!$D33,I$1),"")</f>
        <v/>
      </c>
      <c r="K33" t="str">
        <f>IF(Draft_Import!$D33=K$1,COUNTIF(Draft_Import!$D$2:'Draft_Import'!$D33,K$1),"")</f>
        <v/>
      </c>
      <c r="M33" t="str">
        <f>IF(Draft_Import!$D33=M$1,COUNTIF(Draft_Import!$D$2:'Draft_Import'!$D33,M$1),"")</f>
        <v/>
      </c>
      <c r="O33" t="str">
        <f>IF(Draft_Import!$D33=O$1,COUNTIF(Draft_Import!$D$2:'Draft_Import'!$D33,O$1),"")</f>
        <v/>
      </c>
      <c r="Q33">
        <f>IF(Draft_Import!$D33=Q$1,COUNTIF(Draft_Import!$D$2:'Draft_Import'!$D33,Q$1),"")</f>
        <v>4</v>
      </c>
      <c r="S33" t="str">
        <f>IF(Draft_Import!$D33=S$1,COUNTIF(Draft_Import!$D$2:'Draft_Import'!$D33,S$1),"")</f>
        <v/>
      </c>
    </row>
    <row r="34" spans="1:19" x14ac:dyDescent="0.25">
      <c r="A34" t="str">
        <f>IF(Draft_Import!$D34=A$1,COUNTIF(Draft_Import!$D$2:'Draft_Import'!$D34,A$1),"")</f>
        <v/>
      </c>
      <c r="C34" t="str">
        <f>IF(Draft_Import!$D34=C$1,COUNTIF(Draft_Import!$D$2:'Draft_Import'!$D34,C$1),"")</f>
        <v/>
      </c>
      <c r="E34" t="str">
        <f>IF(Draft_Import!$D34=E$1,COUNTIF(Draft_Import!$D$2:'Draft_Import'!$D34,E$1),"")</f>
        <v/>
      </c>
      <c r="G34" t="str">
        <f>IF(Draft_Import!$D34=G$1,COUNTIF(Draft_Import!$D$2:'Draft_Import'!$D34,G$1),"")</f>
        <v/>
      </c>
      <c r="I34" t="str">
        <f>IF(Draft_Import!$D34=I$1,COUNTIF(Draft_Import!$D$2:'Draft_Import'!$D34,I$1),"")</f>
        <v/>
      </c>
      <c r="K34" t="str">
        <f>IF(Draft_Import!$D34=K$1,COUNTIF(Draft_Import!$D$2:'Draft_Import'!$D34,K$1),"")</f>
        <v/>
      </c>
      <c r="M34" t="str">
        <f>IF(Draft_Import!$D34=M$1,COUNTIF(Draft_Import!$D$2:'Draft_Import'!$D34,M$1),"")</f>
        <v/>
      </c>
      <c r="O34">
        <f>IF(Draft_Import!$D34=O$1,COUNTIF(Draft_Import!$D$2:'Draft_Import'!$D34,O$1),"")</f>
        <v>4</v>
      </c>
      <c r="Q34" t="str">
        <f>IF(Draft_Import!$D34=Q$1,COUNTIF(Draft_Import!$D$2:'Draft_Import'!$D34,Q$1),"")</f>
        <v/>
      </c>
      <c r="S34" t="str">
        <f>IF(Draft_Import!$D34=S$1,COUNTIF(Draft_Import!$D$2:'Draft_Import'!$D34,S$1),"")</f>
        <v/>
      </c>
    </row>
    <row r="35" spans="1:19" x14ac:dyDescent="0.25">
      <c r="A35" t="str">
        <f>IF(Draft_Import!$D35=A$1,COUNTIF(Draft_Import!$D$2:'Draft_Import'!$D35,A$1),"")</f>
        <v/>
      </c>
      <c r="C35" t="str">
        <f>IF(Draft_Import!$D35=C$1,COUNTIF(Draft_Import!$D$2:'Draft_Import'!$D35,C$1),"")</f>
        <v/>
      </c>
      <c r="E35" t="str">
        <f>IF(Draft_Import!$D35=E$1,COUNTIF(Draft_Import!$D$2:'Draft_Import'!$D35,E$1),"")</f>
        <v/>
      </c>
      <c r="G35" t="str">
        <f>IF(Draft_Import!$D35=G$1,COUNTIF(Draft_Import!$D$2:'Draft_Import'!$D35,G$1),"")</f>
        <v/>
      </c>
      <c r="I35" t="str">
        <f>IF(Draft_Import!$D35=I$1,COUNTIF(Draft_Import!$D$2:'Draft_Import'!$D35,I$1),"")</f>
        <v/>
      </c>
      <c r="K35" t="str">
        <f>IF(Draft_Import!$D35=K$1,COUNTIF(Draft_Import!$D$2:'Draft_Import'!$D35,K$1),"")</f>
        <v/>
      </c>
      <c r="M35">
        <f>IF(Draft_Import!$D35=M$1,COUNTIF(Draft_Import!$D$2:'Draft_Import'!$D35,M$1),"")</f>
        <v>4</v>
      </c>
      <c r="O35" t="str">
        <f>IF(Draft_Import!$D35=O$1,COUNTIF(Draft_Import!$D$2:'Draft_Import'!$D35,O$1),"")</f>
        <v/>
      </c>
      <c r="Q35" t="str">
        <f>IF(Draft_Import!$D35=Q$1,COUNTIF(Draft_Import!$D$2:'Draft_Import'!$D35,Q$1),"")</f>
        <v/>
      </c>
      <c r="S35" t="str">
        <f>IF(Draft_Import!$D35=S$1,COUNTIF(Draft_Import!$D$2:'Draft_Import'!$D35,S$1),"")</f>
        <v/>
      </c>
    </row>
    <row r="36" spans="1:19" x14ac:dyDescent="0.25">
      <c r="A36" t="str">
        <f>IF(Draft_Import!$D36=A$1,COUNTIF(Draft_Import!$D$2:'Draft_Import'!$D36,A$1),"")</f>
        <v/>
      </c>
      <c r="C36" t="str">
        <f>IF(Draft_Import!$D36=C$1,COUNTIF(Draft_Import!$D$2:'Draft_Import'!$D36,C$1),"")</f>
        <v/>
      </c>
      <c r="E36" t="str">
        <f>IF(Draft_Import!$D36=E$1,COUNTIF(Draft_Import!$D$2:'Draft_Import'!$D36,E$1),"")</f>
        <v/>
      </c>
      <c r="G36" t="str">
        <f>IF(Draft_Import!$D36=G$1,COUNTIF(Draft_Import!$D$2:'Draft_Import'!$D36,G$1),"")</f>
        <v/>
      </c>
      <c r="I36" t="str">
        <f>IF(Draft_Import!$D36=I$1,COUNTIF(Draft_Import!$D$2:'Draft_Import'!$D36,I$1),"")</f>
        <v/>
      </c>
      <c r="K36">
        <f>IF(Draft_Import!$D36=K$1,COUNTIF(Draft_Import!$D$2:'Draft_Import'!$D36,K$1),"")</f>
        <v>4</v>
      </c>
      <c r="M36" t="str">
        <f>IF(Draft_Import!$D36=M$1,COUNTIF(Draft_Import!$D$2:'Draft_Import'!$D36,M$1),"")</f>
        <v/>
      </c>
      <c r="O36" t="str">
        <f>IF(Draft_Import!$D36=O$1,COUNTIF(Draft_Import!$D$2:'Draft_Import'!$D36,O$1),"")</f>
        <v/>
      </c>
      <c r="Q36" t="str">
        <f>IF(Draft_Import!$D36=Q$1,COUNTIF(Draft_Import!$D$2:'Draft_Import'!$D36,Q$1),"")</f>
        <v/>
      </c>
      <c r="S36" t="str">
        <f>IF(Draft_Import!$D36=S$1,COUNTIF(Draft_Import!$D$2:'Draft_Import'!$D36,S$1),"")</f>
        <v/>
      </c>
    </row>
    <row r="37" spans="1:19" x14ac:dyDescent="0.25">
      <c r="A37" t="str">
        <f>IF(Draft_Import!$D37=A$1,COUNTIF(Draft_Import!$D$2:'Draft_Import'!$D37,A$1),"")</f>
        <v/>
      </c>
      <c r="C37" t="str">
        <f>IF(Draft_Import!$D37=C$1,COUNTIF(Draft_Import!$D$2:'Draft_Import'!$D37,C$1),"")</f>
        <v/>
      </c>
      <c r="E37" t="str">
        <f>IF(Draft_Import!$D37=E$1,COUNTIF(Draft_Import!$D$2:'Draft_Import'!$D37,E$1),"")</f>
        <v/>
      </c>
      <c r="G37" t="str">
        <f>IF(Draft_Import!$D37=G$1,COUNTIF(Draft_Import!$D$2:'Draft_Import'!$D37,G$1),"")</f>
        <v/>
      </c>
      <c r="I37">
        <f>IF(Draft_Import!$D37=I$1,COUNTIF(Draft_Import!$D$2:'Draft_Import'!$D37,I$1),"")</f>
        <v>4</v>
      </c>
      <c r="K37" t="str">
        <f>IF(Draft_Import!$D37=K$1,COUNTIF(Draft_Import!$D$2:'Draft_Import'!$D37,K$1),"")</f>
        <v/>
      </c>
      <c r="M37" t="str">
        <f>IF(Draft_Import!$D37=M$1,COUNTIF(Draft_Import!$D$2:'Draft_Import'!$D37,M$1),"")</f>
        <v/>
      </c>
      <c r="O37" t="str">
        <f>IF(Draft_Import!$D37=O$1,COUNTIF(Draft_Import!$D$2:'Draft_Import'!$D37,O$1),"")</f>
        <v/>
      </c>
      <c r="Q37" t="str">
        <f>IF(Draft_Import!$D37=Q$1,COUNTIF(Draft_Import!$D$2:'Draft_Import'!$D37,Q$1),"")</f>
        <v/>
      </c>
      <c r="S37" t="str">
        <f>IF(Draft_Import!$D37=S$1,COUNTIF(Draft_Import!$D$2:'Draft_Import'!$D37,S$1),"")</f>
        <v/>
      </c>
    </row>
    <row r="38" spans="1:19" x14ac:dyDescent="0.25">
      <c r="A38" t="str">
        <f>IF(Draft_Import!$D38=A$1,COUNTIF(Draft_Import!$D$2:'Draft_Import'!$D38,A$1),"")</f>
        <v/>
      </c>
      <c r="C38" t="str">
        <f>IF(Draft_Import!$D38=C$1,COUNTIF(Draft_Import!$D$2:'Draft_Import'!$D38,C$1),"")</f>
        <v/>
      </c>
      <c r="E38" t="str">
        <f>IF(Draft_Import!$D38=E$1,COUNTIF(Draft_Import!$D$2:'Draft_Import'!$D38,E$1),"")</f>
        <v/>
      </c>
      <c r="G38">
        <f>IF(Draft_Import!$D38=G$1,COUNTIF(Draft_Import!$D$2:'Draft_Import'!$D38,G$1),"")</f>
        <v>4</v>
      </c>
      <c r="I38" t="str">
        <f>IF(Draft_Import!$D38=I$1,COUNTIF(Draft_Import!$D$2:'Draft_Import'!$D38,I$1),"")</f>
        <v/>
      </c>
      <c r="K38" t="str">
        <f>IF(Draft_Import!$D38=K$1,COUNTIF(Draft_Import!$D$2:'Draft_Import'!$D38,K$1),"")</f>
        <v/>
      </c>
      <c r="M38" t="str">
        <f>IF(Draft_Import!$D38=M$1,COUNTIF(Draft_Import!$D$2:'Draft_Import'!$D38,M$1),"")</f>
        <v/>
      </c>
      <c r="O38" t="str">
        <f>IF(Draft_Import!$D38=O$1,COUNTIF(Draft_Import!$D$2:'Draft_Import'!$D38,O$1),"")</f>
        <v/>
      </c>
      <c r="Q38" t="str">
        <f>IF(Draft_Import!$D38=Q$1,COUNTIF(Draft_Import!$D$2:'Draft_Import'!$D38,Q$1),"")</f>
        <v/>
      </c>
      <c r="S38" t="str">
        <f>IF(Draft_Import!$D38=S$1,COUNTIF(Draft_Import!$D$2:'Draft_Import'!$D38,S$1),"")</f>
        <v/>
      </c>
    </row>
    <row r="39" spans="1:19" x14ac:dyDescent="0.25">
      <c r="A39" t="str">
        <f>IF(Draft_Import!$D39=A$1,COUNTIF(Draft_Import!$D$2:'Draft_Import'!$D39,A$1),"")</f>
        <v/>
      </c>
      <c r="C39" t="str">
        <f>IF(Draft_Import!$D39=C$1,COUNTIF(Draft_Import!$D$2:'Draft_Import'!$D39,C$1),"")</f>
        <v/>
      </c>
      <c r="E39">
        <f>IF(Draft_Import!$D39=E$1,COUNTIF(Draft_Import!$D$2:'Draft_Import'!$D39,E$1),"")</f>
        <v>4</v>
      </c>
      <c r="G39" t="str">
        <f>IF(Draft_Import!$D39=G$1,COUNTIF(Draft_Import!$D$2:'Draft_Import'!$D39,G$1),"")</f>
        <v/>
      </c>
      <c r="I39" t="str">
        <f>IF(Draft_Import!$D39=I$1,COUNTIF(Draft_Import!$D$2:'Draft_Import'!$D39,I$1),"")</f>
        <v/>
      </c>
      <c r="K39" t="str">
        <f>IF(Draft_Import!$D39=K$1,COUNTIF(Draft_Import!$D$2:'Draft_Import'!$D39,K$1),"")</f>
        <v/>
      </c>
      <c r="M39" t="str">
        <f>IF(Draft_Import!$D39=M$1,COUNTIF(Draft_Import!$D$2:'Draft_Import'!$D39,M$1),"")</f>
        <v/>
      </c>
      <c r="O39" t="str">
        <f>IF(Draft_Import!$D39=O$1,COUNTIF(Draft_Import!$D$2:'Draft_Import'!$D39,O$1),"")</f>
        <v/>
      </c>
      <c r="Q39" t="str">
        <f>IF(Draft_Import!$D39=Q$1,COUNTIF(Draft_Import!$D$2:'Draft_Import'!$D39,Q$1),"")</f>
        <v/>
      </c>
      <c r="S39" t="str">
        <f>IF(Draft_Import!$D39=S$1,COUNTIF(Draft_Import!$D$2:'Draft_Import'!$D39,S$1),"")</f>
        <v/>
      </c>
    </row>
    <row r="40" spans="1:19" x14ac:dyDescent="0.25">
      <c r="A40" t="str">
        <f>IF(Draft_Import!$D40=A$1,COUNTIF(Draft_Import!$D$2:'Draft_Import'!$D40,A$1),"")</f>
        <v/>
      </c>
      <c r="C40">
        <f>IF(Draft_Import!$D40=C$1,COUNTIF(Draft_Import!$D$2:'Draft_Import'!$D40,C$1),"")</f>
        <v>4</v>
      </c>
      <c r="E40" t="str">
        <f>IF(Draft_Import!$D40=E$1,COUNTIF(Draft_Import!$D$2:'Draft_Import'!$D40,E$1),"")</f>
        <v/>
      </c>
      <c r="G40" t="str">
        <f>IF(Draft_Import!$D40=G$1,COUNTIF(Draft_Import!$D$2:'Draft_Import'!$D40,G$1),"")</f>
        <v/>
      </c>
      <c r="I40" t="str">
        <f>IF(Draft_Import!$D40=I$1,COUNTIF(Draft_Import!$D$2:'Draft_Import'!$D40,I$1),"")</f>
        <v/>
      </c>
      <c r="K40" t="str">
        <f>IF(Draft_Import!$D40=K$1,COUNTIF(Draft_Import!$D$2:'Draft_Import'!$D40,K$1),"")</f>
        <v/>
      </c>
      <c r="M40" t="str">
        <f>IF(Draft_Import!$D40=M$1,COUNTIF(Draft_Import!$D$2:'Draft_Import'!$D40,M$1),"")</f>
        <v/>
      </c>
      <c r="O40" t="str">
        <f>IF(Draft_Import!$D40=O$1,COUNTIF(Draft_Import!$D$2:'Draft_Import'!$D40,O$1),"")</f>
        <v/>
      </c>
      <c r="Q40" t="str">
        <f>IF(Draft_Import!$D40=Q$1,COUNTIF(Draft_Import!$D$2:'Draft_Import'!$D40,Q$1),"")</f>
        <v/>
      </c>
      <c r="S40" t="str">
        <f>IF(Draft_Import!$D40=S$1,COUNTIF(Draft_Import!$D$2:'Draft_Import'!$D40,S$1),"")</f>
        <v/>
      </c>
    </row>
    <row r="41" spans="1:19" x14ac:dyDescent="0.25">
      <c r="A41">
        <f>IF(Draft_Import!$D41=A$1,COUNTIF(Draft_Import!$D$2:'Draft_Import'!$D41,A$1),"")</f>
        <v>4</v>
      </c>
      <c r="C41" t="str">
        <f>IF(Draft_Import!$D41=C$1,COUNTIF(Draft_Import!$D$2:'Draft_Import'!$D41,C$1),"")</f>
        <v/>
      </c>
      <c r="E41" t="str">
        <f>IF(Draft_Import!$D41=E$1,COUNTIF(Draft_Import!$D$2:'Draft_Import'!$D41,E$1),"")</f>
        <v/>
      </c>
      <c r="G41" t="str">
        <f>IF(Draft_Import!$D41=G$1,COUNTIF(Draft_Import!$D$2:'Draft_Import'!$D41,G$1),"")</f>
        <v/>
      </c>
      <c r="I41" t="str">
        <f>IF(Draft_Import!$D41=I$1,COUNTIF(Draft_Import!$D$2:'Draft_Import'!$D41,I$1),"")</f>
        <v/>
      </c>
      <c r="K41" t="str">
        <f>IF(Draft_Import!$D41=K$1,COUNTIF(Draft_Import!$D$2:'Draft_Import'!$D41,K$1),"")</f>
        <v/>
      </c>
      <c r="M41" t="str">
        <f>IF(Draft_Import!$D41=M$1,COUNTIF(Draft_Import!$D$2:'Draft_Import'!$D41,M$1),"")</f>
        <v/>
      </c>
      <c r="O41" t="str">
        <f>IF(Draft_Import!$D41=O$1,COUNTIF(Draft_Import!$D$2:'Draft_Import'!$D41,O$1),"")</f>
        <v/>
      </c>
      <c r="Q41" t="str">
        <f>IF(Draft_Import!$D41=Q$1,COUNTIF(Draft_Import!$D$2:'Draft_Import'!$D41,Q$1),"")</f>
        <v/>
      </c>
      <c r="S41" t="str">
        <f>IF(Draft_Import!$D41=S$1,COUNTIF(Draft_Import!$D$2:'Draft_Import'!$D41,S$1),"")</f>
        <v/>
      </c>
    </row>
    <row r="42" spans="1:19" x14ac:dyDescent="0.25">
      <c r="A42">
        <f>IF(Draft_Import!$D42=A$1,COUNTIF(Draft_Import!$D$2:'Draft_Import'!$D42,A$1),"")</f>
        <v>5</v>
      </c>
      <c r="C42" t="str">
        <f>IF(Draft_Import!$D42=C$1,COUNTIF(Draft_Import!$D$2:'Draft_Import'!$D42,C$1),"")</f>
        <v/>
      </c>
      <c r="E42" t="str">
        <f>IF(Draft_Import!$D42=E$1,COUNTIF(Draft_Import!$D$2:'Draft_Import'!$D42,E$1),"")</f>
        <v/>
      </c>
      <c r="G42" t="str">
        <f>IF(Draft_Import!$D42=G$1,COUNTIF(Draft_Import!$D$2:'Draft_Import'!$D42,G$1),"")</f>
        <v/>
      </c>
      <c r="I42" t="str">
        <f>IF(Draft_Import!$D42=I$1,COUNTIF(Draft_Import!$D$2:'Draft_Import'!$D42,I$1),"")</f>
        <v/>
      </c>
      <c r="K42" t="str">
        <f>IF(Draft_Import!$D42=K$1,COUNTIF(Draft_Import!$D$2:'Draft_Import'!$D42,K$1),"")</f>
        <v/>
      </c>
      <c r="M42" t="str">
        <f>IF(Draft_Import!$D42=M$1,COUNTIF(Draft_Import!$D$2:'Draft_Import'!$D42,M$1),"")</f>
        <v/>
      </c>
      <c r="O42" t="str">
        <f>IF(Draft_Import!$D42=O$1,COUNTIF(Draft_Import!$D$2:'Draft_Import'!$D42,O$1),"")</f>
        <v/>
      </c>
      <c r="Q42" t="str">
        <f>IF(Draft_Import!$D42=Q$1,COUNTIF(Draft_Import!$D$2:'Draft_Import'!$D42,Q$1),"")</f>
        <v/>
      </c>
      <c r="S42" t="str">
        <f>IF(Draft_Import!$D42=S$1,COUNTIF(Draft_Import!$D$2:'Draft_Import'!$D42,S$1),"")</f>
        <v/>
      </c>
    </row>
    <row r="43" spans="1:19" x14ac:dyDescent="0.25">
      <c r="A43" t="str">
        <f>IF(Draft_Import!$D43=A$1,COUNTIF(Draft_Import!$D$2:'Draft_Import'!$D43,A$1),"")</f>
        <v/>
      </c>
      <c r="C43">
        <f>IF(Draft_Import!$D43=C$1,COUNTIF(Draft_Import!$D$2:'Draft_Import'!$D43,C$1),"")</f>
        <v>5</v>
      </c>
      <c r="E43" t="str">
        <f>IF(Draft_Import!$D43=E$1,COUNTIF(Draft_Import!$D$2:'Draft_Import'!$D43,E$1),"")</f>
        <v/>
      </c>
      <c r="G43" t="str">
        <f>IF(Draft_Import!$D43=G$1,COUNTIF(Draft_Import!$D$2:'Draft_Import'!$D43,G$1),"")</f>
        <v/>
      </c>
      <c r="I43" t="str">
        <f>IF(Draft_Import!$D43=I$1,COUNTIF(Draft_Import!$D$2:'Draft_Import'!$D43,I$1),"")</f>
        <v/>
      </c>
      <c r="K43" t="str">
        <f>IF(Draft_Import!$D43=K$1,COUNTIF(Draft_Import!$D$2:'Draft_Import'!$D43,K$1),"")</f>
        <v/>
      </c>
      <c r="M43" t="str">
        <f>IF(Draft_Import!$D43=M$1,COUNTIF(Draft_Import!$D$2:'Draft_Import'!$D43,M$1),"")</f>
        <v/>
      </c>
      <c r="O43" t="str">
        <f>IF(Draft_Import!$D43=O$1,COUNTIF(Draft_Import!$D$2:'Draft_Import'!$D43,O$1),"")</f>
        <v/>
      </c>
      <c r="Q43" t="str">
        <f>IF(Draft_Import!$D43=Q$1,COUNTIF(Draft_Import!$D$2:'Draft_Import'!$D43,Q$1),"")</f>
        <v/>
      </c>
      <c r="S43" t="str">
        <f>IF(Draft_Import!$D43=S$1,COUNTIF(Draft_Import!$D$2:'Draft_Import'!$D43,S$1),"")</f>
        <v/>
      </c>
    </row>
    <row r="44" spans="1:19" x14ac:dyDescent="0.25">
      <c r="A44" t="str">
        <f>IF(Draft_Import!$D44=A$1,COUNTIF(Draft_Import!$D$2:'Draft_Import'!$D44,A$1),"")</f>
        <v/>
      </c>
      <c r="C44" t="str">
        <f>IF(Draft_Import!$D44=C$1,COUNTIF(Draft_Import!$D$2:'Draft_Import'!$D44,C$1),"")</f>
        <v/>
      </c>
      <c r="E44">
        <f>IF(Draft_Import!$D44=E$1,COUNTIF(Draft_Import!$D$2:'Draft_Import'!$D44,E$1),"")</f>
        <v>5</v>
      </c>
      <c r="G44" t="str">
        <f>IF(Draft_Import!$D44=G$1,COUNTIF(Draft_Import!$D$2:'Draft_Import'!$D44,G$1),"")</f>
        <v/>
      </c>
      <c r="I44" t="str">
        <f>IF(Draft_Import!$D44=I$1,COUNTIF(Draft_Import!$D$2:'Draft_Import'!$D44,I$1),"")</f>
        <v/>
      </c>
      <c r="K44" t="str">
        <f>IF(Draft_Import!$D44=K$1,COUNTIF(Draft_Import!$D$2:'Draft_Import'!$D44,K$1),"")</f>
        <v/>
      </c>
      <c r="M44" t="str">
        <f>IF(Draft_Import!$D44=M$1,COUNTIF(Draft_Import!$D$2:'Draft_Import'!$D44,M$1),"")</f>
        <v/>
      </c>
      <c r="O44" t="str">
        <f>IF(Draft_Import!$D44=O$1,COUNTIF(Draft_Import!$D$2:'Draft_Import'!$D44,O$1),"")</f>
        <v/>
      </c>
      <c r="Q44" t="str">
        <f>IF(Draft_Import!$D44=Q$1,COUNTIF(Draft_Import!$D$2:'Draft_Import'!$D44,Q$1),"")</f>
        <v/>
      </c>
      <c r="S44" t="str">
        <f>IF(Draft_Import!$D44=S$1,COUNTIF(Draft_Import!$D$2:'Draft_Import'!$D44,S$1),"")</f>
        <v/>
      </c>
    </row>
    <row r="45" spans="1:19" x14ac:dyDescent="0.25">
      <c r="A45" t="str">
        <f>IF(Draft_Import!$D45=A$1,COUNTIF(Draft_Import!$D$2:'Draft_Import'!$D45,A$1),"")</f>
        <v/>
      </c>
      <c r="C45" t="str">
        <f>IF(Draft_Import!$D45=C$1,COUNTIF(Draft_Import!$D$2:'Draft_Import'!$D45,C$1),"")</f>
        <v/>
      </c>
      <c r="E45" t="str">
        <f>IF(Draft_Import!$D45=E$1,COUNTIF(Draft_Import!$D$2:'Draft_Import'!$D45,E$1),"")</f>
        <v/>
      </c>
      <c r="G45">
        <f>IF(Draft_Import!$D45=G$1,COUNTIF(Draft_Import!$D$2:'Draft_Import'!$D45,G$1),"")</f>
        <v>5</v>
      </c>
      <c r="I45" t="str">
        <f>IF(Draft_Import!$D45=I$1,COUNTIF(Draft_Import!$D$2:'Draft_Import'!$D45,I$1),"")</f>
        <v/>
      </c>
      <c r="K45" t="str">
        <f>IF(Draft_Import!$D45=K$1,COUNTIF(Draft_Import!$D$2:'Draft_Import'!$D45,K$1),"")</f>
        <v/>
      </c>
      <c r="M45" t="str">
        <f>IF(Draft_Import!$D45=M$1,COUNTIF(Draft_Import!$D$2:'Draft_Import'!$D45,M$1),"")</f>
        <v/>
      </c>
      <c r="O45" t="str">
        <f>IF(Draft_Import!$D45=O$1,COUNTIF(Draft_Import!$D$2:'Draft_Import'!$D45,O$1),"")</f>
        <v/>
      </c>
      <c r="Q45" t="str">
        <f>IF(Draft_Import!$D45=Q$1,COUNTIF(Draft_Import!$D$2:'Draft_Import'!$D45,Q$1),"")</f>
        <v/>
      </c>
      <c r="S45" t="str">
        <f>IF(Draft_Import!$D45=S$1,COUNTIF(Draft_Import!$D$2:'Draft_Import'!$D45,S$1),"")</f>
        <v/>
      </c>
    </row>
    <row r="46" spans="1:19" x14ac:dyDescent="0.25">
      <c r="A46" t="str">
        <f>IF(Draft_Import!$D46=A$1,COUNTIF(Draft_Import!$D$2:'Draft_Import'!$D46,A$1),"")</f>
        <v/>
      </c>
      <c r="C46" t="str">
        <f>IF(Draft_Import!$D46=C$1,COUNTIF(Draft_Import!$D$2:'Draft_Import'!$D46,C$1),"")</f>
        <v/>
      </c>
      <c r="E46" t="str">
        <f>IF(Draft_Import!$D46=E$1,COUNTIF(Draft_Import!$D$2:'Draft_Import'!$D46,E$1),"")</f>
        <v/>
      </c>
      <c r="G46" t="str">
        <f>IF(Draft_Import!$D46=G$1,COUNTIF(Draft_Import!$D$2:'Draft_Import'!$D46,G$1),"")</f>
        <v/>
      </c>
      <c r="I46">
        <f>IF(Draft_Import!$D46=I$1,COUNTIF(Draft_Import!$D$2:'Draft_Import'!$D46,I$1),"")</f>
        <v>5</v>
      </c>
      <c r="K46" t="str">
        <f>IF(Draft_Import!$D46=K$1,COUNTIF(Draft_Import!$D$2:'Draft_Import'!$D46,K$1),"")</f>
        <v/>
      </c>
      <c r="M46" t="str">
        <f>IF(Draft_Import!$D46=M$1,COUNTIF(Draft_Import!$D$2:'Draft_Import'!$D46,M$1),"")</f>
        <v/>
      </c>
      <c r="O46" t="str">
        <f>IF(Draft_Import!$D46=O$1,COUNTIF(Draft_Import!$D$2:'Draft_Import'!$D46,O$1),"")</f>
        <v/>
      </c>
      <c r="Q46" t="str">
        <f>IF(Draft_Import!$D46=Q$1,COUNTIF(Draft_Import!$D$2:'Draft_Import'!$D46,Q$1),"")</f>
        <v/>
      </c>
      <c r="S46" t="str">
        <f>IF(Draft_Import!$D46=S$1,COUNTIF(Draft_Import!$D$2:'Draft_Import'!$D46,S$1),"")</f>
        <v/>
      </c>
    </row>
    <row r="47" spans="1:19" x14ac:dyDescent="0.25">
      <c r="A47" t="str">
        <f>IF(Draft_Import!$D47=A$1,COUNTIF(Draft_Import!$D$2:'Draft_Import'!$D47,A$1),"")</f>
        <v/>
      </c>
      <c r="C47" t="str">
        <f>IF(Draft_Import!$D47=C$1,COUNTIF(Draft_Import!$D$2:'Draft_Import'!$D47,C$1),"")</f>
        <v/>
      </c>
      <c r="E47" t="str">
        <f>IF(Draft_Import!$D47=E$1,COUNTIF(Draft_Import!$D$2:'Draft_Import'!$D47,E$1),"")</f>
        <v/>
      </c>
      <c r="G47" t="str">
        <f>IF(Draft_Import!$D47=G$1,COUNTIF(Draft_Import!$D$2:'Draft_Import'!$D47,G$1),"")</f>
        <v/>
      </c>
      <c r="I47" t="str">
        <f>IF(Draft_Import!$D47=I$1,COUNTIF(Draft_Import!$D$2:'Draft_Import'!$D47,I$1),"")</f>
        <v/>
      </c>
      <c r="K47">
        <f>IF(Draft_Import!$D47=K$1,COUNTIF(Draft_Import!$D$2:'Draft_Import'!$D47,K$1),"")</f>
        <v>5</v>
      </c>
      <c r="M47" t="str">
        <f>IF(Draft_Import!$D47=M$1,COUNTIF(Draft_Import!$D$2:'Draft_Import'!$D47,M$1),"")</f>
        <v/>
      </c>
      <c r="O47" t="str">
        <f>IF(Draft_Import!$D47=O$1,COUNTIF(Draft_Import!$D$2:'Draft_Import'!$D47,O$1),"")</f>
        <v/>
      </c>
      <c r="Q47" t="str">
        <f>IF(Draft_Import!$D47=Q$1,COUNTIF(Draft_Import!$D$2:'Draft_Import'!$D47,Q$1),"")</f>
        <v/>
      </c>
      <c r="S47" t="str">
        <f>IF(Draft_Import!$D47=S$1,COUNTIF(Draft_Import!$D$2:'Draft_Import'!$D47,S$1),"")</f>
        <v/>
      </c>
    </row>
    <row r="48" spans="1:19" x14ac:dyDescent="0.25">
      <c r="A48" t="str">
        <f>IF(Draft_Import!$D48=A$1,COUNTIF(Draft_Import!$D$2:'Draft_Import'!$D48,A$1),"")</f>
        <v/>
      </c>
      <c r="C48" t="str">
        <f>IF(Draft_Import!$D48=C$1,COUNTIF(Draft_Import!$D$2:'Draft_Import'!$D48,C$1),"")</f>
        <v/>
      </c>
      <c r="E48" t="str">
        <f>IF(Draft_Import!$D48=E$1,COUNTIF(Draft_Import!$D$2:'Draft_Import'!$D48,E$1),"")</f>
        <v/>
      </c>
      <c r="G48" t="str">
        <f>IF(Draft_Import!$D48=G$1,COUNTIF(Draft_Import!$D$2:'Draft_Import'!$D48,G$1),"")</f>
        <v/>
      </c>
      <c r="I48" t="str">
        <f>IF(Draft_Import!$D48=I$1,COUNTIF(Draft_Import!$D$2:'Draft_Import'!$D48,I$1),"")</f>
        <v/>
      </c>
      <c r="K48" t="str">
        <f>IF(Draft_Import!$D48=K$1,COUNTIF(Draft_Import!$D$2:'Draft_Import'!$D48,K$1),"")</f>
        <v/>
      </c>
      <c r="M48">
        <f>IF(Draft_Import!$D48=M$1,COUNTIF(Draft_Import!$D$2:'Draft_Import'!$D48,M$1),"")</f>
        <v>5</v>
      </c>
      <c r="O48" t="str">
        <f>IF(Draft_Import!$D48=O$1,COUNTIF(Draft_Import!$D$2:'Draft_Import'!$D48,O$1),"")</f>
        <v/>
      </c>
      <c r="Q48" t="str">
        <f>IF(Draft_Import!$D48=Q$1,COUNTIF(Draft_Import!$D$2:'Draft_Import'!$D48,Q$1),"")</f>
        <v/>
      </c>
      <c r="S48" t="str">
        <f>IF(Draft_Import!$D48=S$1,COUNTIF(Draft_Import!$D$2:'Draft_Import'!$D48,S$1),"")</f>
        <v/>
      </c>
    </row>
    <row r="49" spans="1:19" x14ac:dyDescent="0.25">
      <c r="A49" t="str">
        <f>IF(Draft_Import!$D49=A$1,COUNTIF(Draft_Import!$D$2:'Draft_Import'!$D49,A$1),"")</f>
        <v/>
      </c>
      <c r="C49" t="str">
        <f>IF(Draft_Import!$D49=C$1,COUNTIF(Draft_Import!$D$2:'Draft_Import'!$D49,C$1),"")</f>
        <v/>
      </c>
      <c r="E49" t="str">
        <f>IF(Draft_Import!$D49=E$1,COUNTIF(Draft_Import!$D$2:'Draft_Import'!$D49,E$1),"")</f>
        <v/>
      </c>
      <c r="G49" t="str">
        <f>IF(Draft_Import!$D49=G$1,COUNTIF(Draft_Import!$D$2:'Draft_Import'!$D49,G$1),"")</f>
        <v/>
      </c>
      <c r="I49" t="str">
        <f>IF(Draft_Import!$D49=I$1,COUNTIF(Draft_Import!$D$2:'Draft_Import'!$D49,I$1),"")</f>
        <v/>
      </c>
      <c r="K49" t="str">
        <f>IF(Draft_Import!$D49=K$1,COUNTIF(Draft_Import!$D$2:'Draft_Import'!$D49,K$1),"")</f>
        <v/>
      </c>
      <c r="M49" t="str">
        <f>IF(Draft_Import!$D49=M$1,COUNTIF(Draft_Import!$D$2:'Draft_Import'!$D49,M$1),"")</f>
        <v/>
      </c>
      <c r="O49">
        <f>IF(Draft_Import!$D49=O$1,COUNTIF(Draft_Import!$D$2:'Draft_Import'!$D49,O$1),"")</f>
        <v>5</v>
      </c>
      <c r="Q49" t="str">
        <f>IF(Draft_Import!$D49=Q$1,COUNTIF(Draft_Import!$D$2:'Draft_Import'!$D49,Q$1),"")</f>
        <v/>
      </c>
      <c r="S49" t="str">
        <f>IF(Draft_Import!$D49=S$1,COUNTIF(Draft_Import!$D$2:'Draft_Import'!$D49,S$1),"")</f>
        <v/>
      </c>
    </row>
    <row r="50" spans="1:19" x14ac:dyDescent="0.25">
      <c r="A50" t="str">
        <f>IF(Draft_Import!$D50=A$1,COUNTIF(Draft_Import!$D$2:'Draft_Import'!$D50,A$1),"")</f>
        <v/>
      </c>
      <c r="C50" t="str">
        <f>IF(Draft_Import!$D50=C$1,COUNTIF(Draft_Import!$D$2:'Draft_Import'!$D50,C$1),"")</f>
        <v/>
      </c>
      <c r="E50" t="str">
        <f>IF(Draft_Import!$D50=E$1,COUNTIF(Draft_Import!$D$2:'Draft_Import'!$D50,E$1),"")</f>
        <v/>
      </c>
      <c r="G50" t="str">
        <f>IF(Draft_Import!$D50=G$1,COUNTIF(Draft_Import!$D$2:'Draft_Import'!$D50,G$1),"")</f>
        <v/>
      </c>
      <c r="I50" t="str">
        <f>IF(Draft_Import!$D50=I$1,COUNTIF(Draft_Import!$D$2:'Draft_Import'!$D50,I$1),"")</f>
        <v/>
      </c>
      <c r="K50" t="str">
        <f>IF(Draft_Import!$D50=K$1,COUNTIF(Draft_Import!$D$2:'Draft_Import'!$D50,K$1),"")</f>
        <v/>
      </c>
      <c r="M50" t="str">
        <f>IF(Draft_Import!$D50=M$1,COUNTIF(Draft_Import!$D$2:'Draft_Import'!$D50,M$1),"")</f>
        <v/>
      </c>
      <c r="O50" t="str">
        <f>IF(Draft_Import!$D50=O$1,COUNTIF(Draft_Import!$D$2:'Draft_Import'!$D50,O$1),"")</f>
        <v/>
      </c>
      <c r="Q50">
        <f>IF(Draft_Import!$D50=Q$1,COUNTIF(Draft_Import!$D$2:'Draft_Import'!$D50,Q$1),"")</f>
        <v>5</v>
      </c>
      <c r="S50" t="str">
        <f>IF(Draft_Import!$D50=S$1,COUNTIF(Draft_Import!$D$2:'Draft_Import'!$D50,S$1),"")</f>
        <v/>
      </c>
    </row>
    <row r="51" spans="1:19" x14ac:dyDescent="0.25">
      <c r="A51" t="str">
        <f>IF(Draft_Import!$D51=A$1,COUNTIF(Draft_Import!$D$2:'Draft_Import'!$D51,A$1),"")</f>
        <v/>
      </c>
      <c r="C51" t="str">
        <f>IF(Draft_Import!$D51=C$1,COUNTIF(Draft_Import!$D$2:'Draft_Import'!$D51,C$1),"")</f>
        <v/>
      </c>
      <c r="E51" t="str">
        <f>IF(Draft_Import!$D51=E$1,COUNTIF(Draft_Import!$D$2:'Draft_Import'!$D51,E$1),"")</f>
        <v/>
      </c>
      <c r="G51" t="str">
        <f>IF(Draft_Import!$D51=G$1,COUNTIF(Draft_Import!$D$2:'Draft_Import'!$D51,G$1),"")</f>
        <v/>
      </c>
      <c r="I51" t="str">
        <f>IF(Draft_Import!$D51=I$1,COUNTIF(Draft_Import!$D$2:'Draft_Import'!$D51,I$1),"")</f>
        <v/>
      </c>
      <c r="K51" t="str">
        <f>IF(Draft_Import!$D51=K$1,COUNTIF(Draft_Import!$D$2:'Draft_Import'!$D51,K$1),"")</f>
        <v/>
      </c>
      <c r="M51" t="str">
        <f>IF(Draft_Import!$D51=M$1,COUNTIF(Draft_Import!$D$2:'Draft_Import'!$D51,M$1),"")</f>
        <v/>
      </c>
      <c r="O51" t="str">
        <f>IF(Draft_Import!$D51=O$1,COUNTIF(Draft_Import!$D$2:'Draft_Import'!$D51,O$1),"")</f>
        <v/>
      </c>
      <c r="Q51" t="str">
        <f>IF(Draft_Import!$D51=Q$1,COUNTIF(Draft_Import!$D$2:'Draft_Import'!$D51,Q$1),"")</f>
        <v/>
      </c>
      <c r="S51">
        <f>IF(Draft_Import!$D51=S$1,COUNTIF(Draft_Import!$D$2:'Draft_Import'!$D51,S$1),"")</f>
        <v>5</v>
      </c>
    </row>
    <row r="52" spans="1:19" x14ac:dyDescent="0.25">
      <c r="A52" t="str">
        <f>IF(Draft_Import!$D52=A$1,COUNTIF(Draft_Import!$D$2:'Draft_Import'!$D52,A$1),"")</f>
        <v/>
      </c>
      <c r="C52" t="str">
        <f>IF(Draft_Import!$D52=C$1,COUNTIF(Draft_Import!$D$2:'Draft_Import'!$D52,C$1),"")</f>
        <v/>
      </c>
      <c r="E52" t="str">
        <f>IF(Draft_Import!$D52=E$1,COUNTIF(Draft_Import!$D$2:'Draft_Import'!$D52,E$1),"")</f>
        <v/>
      </c>
      <c r="G52" t="str">
        <f>IF(Draft_Import!$D52=G$1,COUNTIF(Draft_Import!$D$2:'Draft_Import'!$D52,G$1),"")</f>
        <v/>
      </c>
      <c r="I52" t="str">
        <f>IF(Draft_Import!$D52=I$1,COUNTIF(Draft_Import!$D$2:'Draft_Import'!$D52,I$1),"")</f>
        <v/>
      </c>
      <c r="K52" t="str">
        <f>IF(Draft_Import!$D52=K$1,COUNTIF(Draft_Import!$D$2:'Draft_Import'!$D52,K$1),"")</f>
        <v/>
      </c>
      <c r="M52" t="str">
        <f>IF(Draft_Import!$D52=M$1,COUNTIF(Draft_Import!$D$2:'Draft_Import'!$D52,M$1),"")</f>
        <v/>
      </c>
      <c r="O52" t="str">
        <f>IF(Draft_Import!$D52=O$1,COUNTIF(Draft_Import!$D$2:'Draft_Import'!$D52,O$1),"")</f>
        <v/>
      </c>
      <c r="Q52" t="str">
        <f>IF(Draft_Import!$D52=Q$1,COUNTIF(Draft_Import!$D$2:'Draft_Import'!$D52,Q$1),"")</f>
        <v/>
      </c>
      <c r="S52">
        <f>IF(Draft_Import!$D52=S$1,COUNTIF(Draft_Import!$D$2:'Draft_Import'!$D52,S$1),"")</f>
        <v>6</v>
      </c>
    </row>
    <row r="53" spans="1:19" x14ac:dyDescent="0.25">
      <c r="A53" t="str">
        <f>IF(Draft_Import!$D53=A$1,COUNTIF(Draft_Import!$D$2:'Draft_Import'!$D53,A$1),"")</f>
        <v/>
      </c>
      <c r="C53" t="str">
        <f>IF(Draft_Import!$D53=C$1,COUNTIF(Draft_Import!$D$2:'Draft_Import'!$D53,C$1),"")</f>
        <v/>
      </c>
      <c r="E53" t="str">
        <f>IF(Draft_Import!$D53=E$1,COUNTIF(Draft_Import!$D$2:'Draft_Import'!$D53,E$1),"")</f>
        <v/>
      </c>
      <c r="G53" t="str">
        <f>IF(Draft_Import!$D53=G$1,COUNTIF(Draft_Import!$D$2:'Draft_Import'!$D53,G$1),"")</f>
        <v/>
      </c>
      <c r="I53" t="str">
        <f>IF(Draft_Import!$D53=I$1,COUNTIF(Draft_Import!$D$2:'Draft_Import'!$D53,I$1),"")</f>
        <v/>
      </c>
      <c r="K53" t="str">
        <f>IF(Draft_Import!$D53=K$1,COUNTIF(Draft_Import!$D$2:'Draft_Import'!$D53,K$1),"")</f>
        <v/>
      </c>
      <c r="M53" t="str">
        <f>IF(Draft_Import!$D53=M$1,COUNTIF(Draft_Import!$D$2:'Draft_Import'!$D53,M$1),"")</f>
        <v/>
      </c>
      <c r="O53" t="str">
        <f>IF(Draft_Import!$D53=O$1,COUNTIF(Draft_Import!$D$2:'Draft_Import'!$D53,O$1),"")</f>
        <v/>
      </c>
      <c r="Q53">
        <f>IF(Draft_Import!$D53=Q$1,COUNTIF(Draft_Import!$D$2:'Draft_Import'!$D53,Q$1),"")</f>
        <v>6</v>
      </c>
      <c r="S53" t="str">
        <f>IF(Draft_Import!$D53=S$1,COUNTIF(Draft_Import!$D$2:'Draft_Import'!$D53,S$1),"")</f>
        <v/>
      </c>
    </row>
    <row r="54" spans="1:19" x14ac:dyDescent="0.25">
      <c r="A54" t="str">
        <f>IF(Draft_Import!$D54=A$1,COUNTIF(Draft_Import!$D$2:'Draft_Import'!$D54,A$1),"")</f>
        <v/>
      </c>
      <c r="C54" t="str">
        <f>IF(Draft_Import!$D54=C$1,COUNTIF(Draft_Import!$D$2:'Draft_Import'!$D54,C$1),"")</f>
        <v/>
      </c>
      <c r="E54" t="str">
        <f>IF(Draft_Import!$D54=E$1,COUNTIF(Draft_Import!$D$2:'Draft_Import'!$D54,E$1),"")</f>
        <v/>
      </c>
      <c r="G54" t="str">
        <f>IF(Draft_Import!$D54=G$1,COUNTIF(Draft_Import!$D$2:'Draft_Import'!$D54,G$1),"")</f>
        <v/>
      </c>
      <c r="I54" t="str">
        <f>IF(Draft_Import!$D54=I$1,COUNTIF(Draft_Import!$D$2:'Draft_Import'!$D54,I$1),"")</f>
        <v/>
      </c>
      <c r="K54" t="str">
        <f>IF(Draft_Import!$D54=K$1,COUNTIF(Draft_Import!$D$2:'Draft_Import'!$D54,K$1),"")</f>
        <v/>
      </c>
      <c r="M54" t="str">
        <f>IF(Draft_Import!$D54=M$1,COUNTIF(Draft_Import!$D$2:'Draft_Import'!$D54,M$1),"")</f>
        <v/>
      </c>
      <c r="O54">
        <f>IF(Draft_Import!$D54=O$1,COUNTIF(Draft_Import!$D$2:'Draft_Import'!$D54,O$1),"")</f>
        <v>6</v>
      </c>
      <c r="Q54" t="str">
        <f>IF(Draft_Import!$D54=Q$1,COUNTIF(Draft_Import!$D$2:'Draft_Import'!$D54,Q$1),"")</f>
        <v/>
      </c>
      <c r="S54" t="str">
        <f>IF(Draft_Import!$D54=S$1,COUNTIF(Draft_Import!$D$2:'Draft_Import'!$D54,S$1),"")</f>
        <v/>
      </c>
    </row>
    <row r="55" spans="1:19" x14ac:dyDescent="0.25">
      <c r="A55" t="str">
        <f>IF(Draft_Import!$D55=A$1,COUNTIF(Draft_Import!$D$2:'Draft_Import'!$D55,A$1),"")</f>
        <v/>
      </c>
      <c r="C55" t="str">
        <f>IF(Draft_Import!$D55=C$1,COUNTIF(Draft_Import!$D$2:'Draft_Import'!$D55,C$1),"")</f>
        <v/>
      </c>
      <c r="E55" t="str">
        <f>IF(Draft_Import!$D55=E$1,COUNTIF(Draft_Import!$D$2:'Draft_Import'!$D55,E$1),"")</f>
        <v/>
      </c>
      <c r="G55" t="str">
        <f>IF(Draft_Import!$D55=G$1,COUNTIF(Draft_Import!$D$2:'Draft_Import'!$D55,G$1),"")</f>
        <v/>
      </c>
      <c r="I55" t="str">
        <f>IF(Draft_Import!$D55=I$1,COUNTIF(Draft_Import!$D$2:'Draft_Import'!$D55,I$1),"")</f>
        <v/>
      </c>
      <c r="K55" t="str">
        <f>IF(Draft_Import!$D55=K$1,COUNTIF(Draft_Import!$D$2:'Draft_Import'!$D55,K$1),"")</f>
        <v/>
      </c>
      <c r="M55">
        <f>IF(Draft_Import!$D55=M$1,COUNTIF(Draft_Import!$D$2:'Draft_Import'!$D55,M$1),"")</f>
        <v>6</v>
      </c>
      <c r="O55" t="str">
        <f>IF(Draft_Import!$D55=O$1,COUNTIF(Draft_Import!$D$2:'Draft_Import'!$D55,O$1),"")</f>
        <v/>
      </c>
      <c r="Q55" t="str">
        <f>IF(Draft_Import!$D55=Q$1,COUNTIF(Draft_Import!$D$2:'Draft_Import'!$D55,Q$1),"")</f>
        <v/>
      </c>
      <c r="S55" t="str">
        <f>IF(Draft_Import!$D55=S$1,COUNTIF(Draft_Import!$D$2:'Draft_Import'!$D55,S$1),"")</f>
        <v/>
      </c>
    </row>
    <row r="56" spans="1:19" x14ac:dyDescent="0.25">
      <c r="A56" t="str">
        <f>IF(Draft_Import!$D56=A$1,COUNTIF(Draft_Import!$D$2:'Draft_Import'!$D56,A$1),"")</f>
        <v/>
      </c>
      <c r="C56" t="str">
        <f>IF(Draft_Import!$D56=C$1,COUNTIF(Draft_Import!$D$2:'Draft_Import'!$D56,C$1),"")</f>
        <v/>
      </c>
      <c r="E56" t="str">
        <f>IF(Draft_Import!$D56=E$1,COUNTIF(Draft_Import!$D$2:'Draft_Import'!$D56,E$1),"")</f>
        <v/>
      </c>
      <c r="G56" t="str">
        <f>IF(Draft_Import!$D56=G$1,COUNTIF(Draft_Import!$D$2:'Draft_Import'!$D56,G$1),"")</f>
        <v/>
      </c>
      <c r="I56" t="str">
        <f>IF(Draft_Import!$D56=I$1,COUNTIF(Draft_Import!$D$2:'Draft_Import'!$D56,I$1),"")</f>
        <v/>
      </c>
      <c r="K56">
        <f>IF(Draft_Import!$D56=K$1,COUNTIF(Draft_Import!$D$2:'Draft_Import'!$D56,K$1),"")</f>
        <v>6</v>
      </c>
      <c r="M56" t="str">
        <f>IF(Draft_Import!$D56=M$1,COUNTIF(Draft_Import!$D$2:'Draft_Import'!$D56,M$1),"")</f>
        <v/>
      </c>
      <c r="O56" t="str">
        <f>IF(Draft_Import!$D56=O$1,COUNTIF(Draft_Import!$D$2:'Draft_Import'!$D56,O$1),"")</f>
        <v/>
      </c>
      <c r="Q56" t="str">
        <f>IF(Draft_Import!$D56=Q$1,COUNTIF(Draft_Import!$D$2:'Draft_Import'!$D56,Q$1),"")</f>
        <v/>
      </c>
      <c r="S56" t="str">
        <f>IF(Draft_Import!$D56=S$1,COUNTIF(Draft_Import!$D$2:'Draft_Import'!$D56,S$1),"")</f>
        <v/>
      </c>
    </row>
    <row r="57" spans="1:19" x14ac:dyDescent="0.25">
      <c r="A57" t="str">
        <f>IF(Draft_Import!$D57=A$1,COUNTIF(Draft_Import!$D$2:'Draft_Import'!$D57,A$1),"")</f>
        <v/>
      </c>
      <c r="C57" t="str">
        <f>IF(Draft_Import!$D57=C$1,COUNTIF(Draft_Import!$D$2:'Draft_Import'!$D57,C$1),"")</f>
        <v/>
      </c>
      <c r="E57" t="str">
        <f>IF(Draft_Import!$D57=E$1,COUNTIF(Draft_Import!$D$2:'Draft_Import'!$D57,E$1),"")</f>
        <v/>
      </c>
      <c r="G57" t="str">
        <f>IF(Draft_Import!$D57=G$1,COUNTIF(Draft_Import!$D$2:'Draft_Import'!$D57,G$1),"")</f>
        <v/>
      </c>
      <c r="I57">
        <f>IF(Draft_Import!$D57=I$1,COUNTIF(Draft_Import!$D$2:'Draft_Import'!$D57,I$1),"")</f>
        <v>6</v>
      </c>
      <c r="K57" t="str">
        <f>IF(Draft_Import!$D57=K$1,COUNTIF(Draft_Import!$D$2:'Draft_Import'!$D57,K$1),"")</f>
        <v/>
      </c>
      <c r="M57" t="str">
        <f>IF(Draft_Import!$D57=M$1,COUNTIF(Draft_Import!$D$2:'Draft_Import'!$D57,M$1),"")</f>
        <v/>
      </c>
      <c r="O57" t="str">
        <f>IF(Draft_Import!$D57=O$1,COUNTIF(Draft_Import!$D$2:'Draft_Import'!$D57,O$1),"")</f>
        <v/>
      </c>
      <c r="Q57" t="str">
        <f>IF(Draft_Import!$D57=Q$1,COUNTIF(Draft_Import!$D$2:'Draft_Import'!$D57,Q$1),"")</f>
        <v/>
      </c>
      <c r="S57" t="str">
        <f>IF(Draft_Import!$D57=S$1,COUNTIF(Draft_Import!$D$2:'Draft_Import'!$D57,S$1),"")</f>
        <v/>
      </c>
    </row>
    <row r="58" spans="1:19" x14ac:dyDescent="0.25">
      <c r="A58" t="str">
        <f>IF(Draft_Import!$D58=A$1,COUNTIF(Draft_Import!$D$2:'Draft_Import'!$D58,A$1),"")</f>
        <v/>
      </c>
      <c r="C58" t="str">
        <f>IF(Draft_Import!$D58=C$1,COUNTIF(Draft_Import!$D$2:'Draft_Import'!$D58,C$1),"")</f>
        <v/>
      </c>
      <c r="E58" t="str">
        <f>IF(Draft_Import!$D58=E$1,COUNTIF(Draft_Import!$D$2:'Draft_Import'!$D58,E$1),"")</f>
        <v/>
      </c>
      <c r="G58">
        <f>IF(Draft_Import!$D58=G$1,COUNTIF(Draft_Import!$D$2:'Draft_Import'!$D58,G$1),"")</f>
        <v>6</v>
      </c>
      <c r="I58" t="str">
        <f>IF(Draft_Import!$D58=I$1,COUNTIF(Draft_Import!$D$2:'Draft_Import'!$D58,I$1),"")</f>
        <v/>
      </c>
      <c r="K58" t="str">
        <f>IF(Draft_Import!$D58=K$1,COUNTIF(Draft_Import!$D$2:'Draft_Import'!$D58,K$1),"")</f>
        <v/>
      </c>
      <c r="M58" t="str">
        <f>IF(Draft_Import!$D58=M$1,COUNTIF(Draft_Import!$D$2:'Draft_Import'!$D58,M$1),"")</f>
        <v/>
      </c>
      <c r="O58" t="str">
        <f>IF(Draft_Import!$D58=O$1,COUNTIF(Draft_Import!$D$2:'Draft_Import'!$D58,O$1),"")</f>
        <v/>
      </c>
      <c r="Q58" t="str">
        <f>IF(Draft_Import!$D58=Q$1,COUNTIF(Draft_Import!$D$2:'Draft_Import'!$D58,Q$1),"")</f>
        <v/>
      </c>
      <c r="S58" t="str">
        <f>IF(Draft_Import!$D58=S$1,COUNTIF(Draft_Import!$D$2:'Draft_Import'!$D58,S$1),"")</f>
        <v/>
      </c>
    </row>
    <row r="59" spans="1:19" x14ac:dyDescent="0.25">
      <c r="A59" t="str">
        <f>IF(Draft_Import!$D59=A$1,COUNTIF(Draft_Import!$D$2:'Draft_Import'!$D59,A$1),"")</f>
        <v/>
      </c>
      <c r="C59" t="str">
        <f>IF(Draft_Import!$D59=C$1,COUNTIF(Draft_Import!$D$2:'Draft_Import'!$D59,C$1),"")</f>
        <v/>
      </c>
      <c r="E59">
        <f>IF(Draft_Import!$D59=E$1,COUNTIF(Draft_Import!$D$2:'Draft_Import'!$D59,E$1),"")</f>
        <v>6</v>
      </c>
      <c r="G59" t="str">
        <f>IF(Draft_Import!$D59=G$1,COUNTIF(Draft_Import!$D$2:'Draft_Import'!$D59,G$1),"")</f>
        <v/>
      </c>
      <c r="I59" t="str">
        <f>IF(Draft_Import!$D59=I$1,COUNTIF(Draft_Import!$D$2:'Draft_Import'!$D59,I$1),"")</f>
        <v/>
      </c>
      <c r="K59" t="str">
        <f>IF(Draft_Import!$D59=K$1,COUNTIF(Draft_Import!$D$2:'Draft_Import'!$D59,K$1),"")</f>
        <v/>
      </c>
      <c r="M59" t="str">
        <f>IF(Draft_Import!$D59=M$1,COUNTIF(Draft_Import!$D$2:'Draft_Import'!$D59,M$1),"")</f>
        <v/>
      </c>
      <c r="O59" t="str">
        <f>IF(Draft_Import!$D59=O$1,COUNTIF(Draft_Import!$D$2:'Draft_Import'!$D59,O$1),"")</f>
        <v/>
      </c>
      <c r="Q59" t="str">
        <f>IF(Draft_Import!$D59=Q$1,COUNTIF(Draft_Import!$D$2:'Draft_Import'!$D59,Q$1),"")</f>
        <v/>
      </c>
      <c r="S59" t="str">
        <f>IF(Draft_Import!$D59=S$1,COUNTIF(Draft_Import!$D$2:'Draft_Import'!$D59,S$1),"")</f>
        <v/>
      </c>
    </row>
    <row r="60" spans="1:19" x14ac:dyDescent="0.25">
      <c r="A60" t="str">
        <f>IF(Draft_Import!$D60=A$1,COUNTIF(Draft_Import!$D$2:'Draft_Import'!$D60,A$1),"")</f>
        <v/>
      </c>
      <c r="C60">
        <f>IF(Draft_Import!$D60=C$1,COUNTIF(Draft_Import!$D$2:'Draft_Import'!$D60,C$1),"")</f>
        <v>6</v>
      </c>
      <c r="E60" t="str">
        <f>IF(Draft_Import!$D60=E$1,COUNTIF(Draft_Import!$D$2:'Draft_Import'!$D60,E$1),"")</f>
        <v/>
      </c>
      <c r="G60" t="str">
        <f>IF(Draft_Import!$D60=G$1,COUNTIF(Draft_Import!$D$2:'Draft_Import'!$D60,G$1),"")</f>
        <v/>
      </c>
      <c r="I60" t="str">
        <f>IF(Draft_Import!$D60=I$1,COUNTIF(Draft_Import!$D$2:'Draft_Import'!$D60,I$1),"")</f>
        <v/>
      </c>
      <c r="K60" t="str">
        <f>IF(Draft_Import!$D60=K$1,COUNTIF(Draft_Import!$D$2:'Draft_Import'!$D60,K$1),"")</f>
        <v/>
      </c>
      <c r="M60" t="str">
        <f>IF(Draft_Import!$D60=M$1,COUNTIF(Draft_Import!$D$2:'Draft_Import'!$D60,M$1),"")</f>
        <v/>
      </c>
      <c r="O60" t="str">
        <f>IF(Draft_Import!$D60=O$1,COUNTIF(Draft_Import!$D$2:'Draft_Import'!$D60,O$1),"")</f>
        <v/>
      </c>
      <c r="Q60" t="str">
        <f>IF(Draft_Import!$D60=Q$1,COUNTIF(Draft_Import!$D$2:'Draft_Import'!$D60,Q$1),"")</f>
        <v/>
      </c>
      <c r="S60" t="str">
        <f>IF(Draft_Import!$D60=S$1,COUNTIF(Draft_Import!$D$2:'Draft_Import'!$D60,S$1),"")</f>
        <v/>
      </c>
    </row>
    <row r="61" spans="1:19" x14ac:dyDescent="0.25">
      <c r="A61">
        <f>IF(Draft_Import!$D61=A$1,COUNTIF(Draft_Import!$D$2:'Draft_Import'!$D61,A$1),"")</f>
        <v>6</v>
      </c>
      <c r="C61" t="str">
        <f>IF(Draft_Import!$D61=C$1,COUNTIF(Draft_Import!$D$2:'Draft_Import'!$D61,C$1),"")</f>
        <v/>
      </c>
      <c r="E61" t="str">
        <f>IF(Draft_Import!$D61=E$1,COUNTIF(Draft_Import!$D$2:'Draft_Import'!$D61,E$1),"")</f>
        <v/>
      </c>
      <c r="G61" t="str">
        <f>IF(Draft_Import!$D61=G$1,COUNTIF(Draft_Import!$D$2:'Draft_Import'!$D61,G$1),"")</f>
        <v/>
      </c>
      <c r="I61" t="str">
        <f>IF(Draft_Import!$D61=I$1,COUNTIF(Draft_Import!$D$2:'Draft_Import'!$D61,I$1),"")</f>
        <v/>
      </c>
      <c r="K61" t="str">
        <f>IF(Draft_Import!$D61=K$1,COUNTIF(Draft_Import!$D$2:'Draft_Import'!$D61,K$1),"")</f>
        <v/>
      </c>
      <c r="M61" t="str">
        <f>IF(Draft_Import!$D61=M$1,COUNTIF(Draft_Import!$D$2:'Draft_Import'!$D61,M$1),"")</f>
        <v/>
      </c>
      <c r="O61" t="str">
        <f>IF(Draft_Import!$D61=O$1,COUNTIF(Draft_Import!$D$2:'Draft_Import'!$D61,O$1),"")</f>
        <v/>
      </c>
      <c r="Q61" t="str">
        <f>IF(Draft_Import!$D61=Q$1,COUNTIF(Draft_Import!$D$2:'Draft_Import'!$D61,Q$1),"")</f>
        <v/>
      </c>
      <c r="S61" t="str">
        <f>IF(Draft_Import!$D61=S$1,COUNTIF(Draft_Import!$D$2:'Draft_Import'!$D61,S$1),"")</f>
        <v/>
      </c>
    </row>
    <row r="62" spans="1:19" x14ac:dyDescent="0.25">
      <c r="A62">
        <f>IF(Draft_Import!$D62=A$1,COUNTIF(Draft_Import!$D$2:'Draft_Import'!$D62,A$1),"")</f>
        <v>7</v>
      </c>
      <c r="C62" t="str">
        <f>IF(Draft_Import!$D62=C$1,COUNTIF(Draft_Import!$D$2:'Draft_Import'!$D62,C$1),"")</f>
        <v/>
      </c>
      <c r="E62" t="str">
        <f>IF(Draft_Import!$D62=E$1,COUNTIF(Draft_Import!$D$2:'Draft_Import'!$D62,E$1),"")</f>
        <v/>
      </c>
      <c r="G62" t="str">
        <f>IF(Draft_Import!$D62=G$1,COUNTIF(Draft_Import!$D$2:'Draft_Import'!$D62,G$1),"")</f>
        <v/>
      </c>
      <c r="I62" t="str">
        <f>IF(Draft_Import!$D62=I$1,COUNTIF(Draft_Import!$D$2:'Draft_Import'!$D62,I$1),"")</f>
        <v/>
      </c>
      <c r="K62" t="str">
        <f>IF(Draft_Import!$D62=K$1,COUNTIF(Draft_Import!$D$2:'Draft_Import'!$D62,K$1),"")</f>
        <v/>
      </c>
      <c r="M62" t="str">
        <f>IF(Draft_Import!$D62=M$1,COUNTIF(Draft_Import!$D$2:'Draft_Import'!$D62,M$1),"")</f>
        <v/>
      </c>
      <c r="O62" t="str">
        <f>IF(Draft_Import!$D62=O$1,COUNTIF(Draft_Import!$D$2:'Draft_Import'!$D62,O$1),"")</f>
        <v/>
      </c>
      <c r="Q62" t="str">
        <f>IF(Draft_Import!$D62=Q$1,COUNTIF(Draft_Import!$D$2:'Draft_Import'!$D62,Q$1),"")</f>
        <v/>
      </c>
      <c r="S62" t="str">
        <f>IF(Draft_Import!$D62=S$1,COUNTIF(Draft_Import!$D$2:'Draft_Import'!$D62,S$1),"")</f>
        <v/>
      </c>
    </row>
    <row r="63" spans="1:19" x14ac:dyDescent="0.25">
      <c r="A63" t="str">
        <f>IF(Draft_Import!$D63=A$1,COUNTIF(Draft_Import!$D$2:'Draft_Import'!$D63,A$1),"")</f>
        <v/>
      </c>
      <c r="C63">
        <f>IF(Draft_Import!$D63=C$1,COUNTIF(Draft_Import!$D$2:'Draft_Import'!$D63,C$1),"")</f>
        <v>7</v>
      </c>
      <c r="E63" t="str">
        <f>IF(Draft_Import!$D63=E$1,COUNTIF(Draft_Import!$D$2:'Draft_Import'!$D63,E$1),"")</f>
        <v/>
      </c>
      <c r="G63" t="str">
        <f>IF(Draft_Import!$D63=G$1,COUNTIF(Draft_Import!$D$2:'Draft_Import'!$D63,G$1),"")</f>
        <v/>
      </c>
      <c r="I63" t="str">
        <f>IF(Draft_Import!$D63=I$1,COUNTIF(Draft_Import!$D$2:'Draft_Import'!$D63,I$1),"")</f>
        <v/>
      </c>
      <c r="K63" t="str">
        <f>IF(Draft_Import!$D63=K$1,COUNTIF(Draft_Import!$D$2:'Draft_Import'!$D63,K$1),"")</f>
        <v/>
      </c>
      <c r="M63" t="str">
        <f>IF(Draft_Import!$D63=M$1,COUNTIF(Draft_Import!$D$2:'Draft_Import'!$D63,M$1),"")</f>
        <v/>
      </c>
      <c r="O63" t="str">
        <f>IF(Draft_Import!$D63=O$1,COUNTIF(Draft_Import!$D$2:'Draft_Import'!$D63,O$1),"")</f>
        <v/>
      </c>
      <c r="Q63" t="str">
        <f>IF(Draft_Import!$D63=Q$1,COUNTIF(Draft_Import!$D$2:'Draft_Import'!$D63,Q$1),"")</f>
        <v/>
      </c>
      <c r="S63" t="str">
        <f>IF(Draft_Import!$D63=S$1,COUNTIF(Draft_Import!$D$2:'Draft_Import'!$D63,S$1),"")</f>
        <v/>
      </c>
    </row>
    <row r="64" spans="1:19" x14ac:dyDescent="0.25">
      <c r="A64" t="str">
        <f>IF(Draft_Import!$D64=A$1,COUNTIF(Draft_Import!$D$2:'Draft_Import'!$D64,A$1),"")</f>
        <v/>
      </c>
      <c r="C64" t="str">
        <f>IF(Draft_Import!$D64=C$1,COUNTIF(Draft_Import!$D$2:'Draft_Import'!$D64,C$1),"")</f>
        <v/>
      </c>
      <c r="E64">
        <f>IF(Draft_Import!$D64=E$1,COUNTIF(Draft_Import!$D$2:'Draft_Import'!$D64,E$1),"")</f>
        <v>7</v>
      </c>
      <c r="G64" t="str">
        <f>IF(Draft_Import!$D64=G$1,COUNTIF(Draft_Import!$D$2:'Draft_Import'!$D64,G$1),"")</f>
        <v/>
      </c>
      <c r="I64" t="str">
        <f>IF(Draft_Import!$D64=I$1,COUNTIF(Draft_Import!$D$2:'Draft_Import'!$D64,I$1),"")</f>
        <v/>
      </c>
      <c r="K64" t="str">
        <f>IF(Draft_Import!$D64=K$1,COUNTIF(Draft_Import!$D$2:'Draft_Import'!$D64,K$1),"")</f>
        <v/>
      </c>
      <c r="M64" t="str">
        <f>IF(Draft_Import!$D64=M$1,COUNTIF(Draft_Import!$D$2:'Draft_Import'!$D64,M$1),"")</f>
        <v/>
      </c>
      <c r="O64" t="str">
        <f>IF(Draft_Import!$D64=O$1,COUNTIF(Draft_Import!$D$2:'Draft_Import'!$D64,O$1),"")</f>
        <v/>
      </c>
      <c r="Q64" t="str">
        <f>IF(Draft_Import!$D64=Q$1,COUNTIF(Draft_Import!$D$2:'Draft_Import'!$D64,Q$1),"")</f>
        <v/>
      </c>
      <c r="S64" t="str">
        <f>IF(Draft_Import!$D64=S$1,COUNTIF(Draft_Import!$D$2:'Draft_Import'!$D64,S$1),"")</f>
        <v/>
      </c>
    </row>
    <row r="65" spans="1:19" x14ac:dyDescent="0.25">
      <c r="A65" t="str">
        <f>IF(Draft_Import!$D65=A$1,COUNTIF(Draft_Import!$D$2:'Draft_Import'!$D65,A$1),"")</f>
        <v/>
      </c>
      <c r="C65" t="str">
        <f>IF(Draft_Import!$D65=C$1,COUNTIF(Draft_Import!$D$2:'Draft_Import'!$D65,C$1),"")</f>
        <v/>
      </c>
      <c r="E65" t="str">
        <f>IF(Draft_Import!$D65=E$1,COUNTIF(Draft_Import!$D$2:'Draft_Import'!$D65,E$1),"")</f>
        <v/>
      </c>
      <c r="G65">
        <f>IF(Draft_Import!$D65=G$1,COUNTIF(Draft_Import!$D$2:'Draft_Import'!$D65,G$1),"")</f>
        <v>7</v>
      </c>
      <c r="I65" t="str">
        <f>IF(Draft_Import!$D65=I$1,COUNTIF(Draft_Import!$D$2:'Draft_Import'!$D65,I$1),"")</f>
        <v/>
      </c>
      <c r="K65" t="str">
        <f>IF(Draft_Import!$D65=K$1,COUNTIF(Draft_Import!$D$2:'Draft_Import'!$D65,K$1),"")</f>
        <v/>
      </c>
      <c r="M65" t="str">
        <f>IF(Draft_Import!$D65=M$1,COUNTIF(Draft_Import!$D$2:'Draft_Import'!$D65,M$1),"")</f>
        <v/>
      </c>
      <c r="O65" t="str">
        <f>IF(Draft_Import!$D65=O$1,COUNTIF(Draft_Import!$D$2:'Draft_Import'!$D65,O$1),"")</f>
        <v/>
      </c>
      <c r="Q65" t="str">
        <f>IF(Draft_Import!$D65=Q$1,COUNTIF(Draft_Import!$D$2:'Draft_Import'!$D65,Q$1),"")</f>
        <v/>
      </c>
      <c r="S65" t="str">
        <f>IF(Draft_Import!$D65=S$1,COUNTIF(Draft_Import!$D$2:'Draft_Import'!$D65,S$1),"")</f>
        <v/>
      </c>
    </row>
    <row r="66" spans="1:19" x14ac:dyDescent="0.25">
      <c r="A66" t="str">
        <f>IF(Draft_Import!$D66=A$1,COUNTIF(Draft_Import!$D$2:'Draft_Import'!$D66,A$1),"")</f>
        <v/>
      </c>
      <c r="C66" t="str">
        <f>IF(Draft_Import!$D66=C$1,COUNTIF(Draft_Import!$D$2:'Draft_Import'!$D66,C$1),"")</f>
        <v/>
      </c>
      <c r="E66" t="str">
        <f>IF(Draft_Import!$D66=E$1,COUNTIF(Draft_Import!$D$2:'Draft_Import'!$D66,E$1),"")</f>
        <v/>
      </c>
      <c r="G66" t="str">
        <f>IF(Draft_Import!$D66=G$1,COUNTIF(Draft_Import!$D$2:'Draft_Import'!$D66,G$1),"")</f>
        <v/>
      </c>
      <c r="I66">
        <f>IF(Draft_Import!$D66=I$1,COUNTIF(Draft_Import!$D$2:'Draft_Import'!$D66,I$1),"")</f>
        <v>7</v>
      </c>
      <c r="K66" t="str">
        <f>IF(Draft_Import!$D66=K$1,COUNTIF(Draft_Import!$D$2:'Draft_Import'!$D66,K$1),"")</f>
        <v/>
      </c>
      <c r="M66" t="str">
        <f>IF(Draft_Import!$D66=M$1,COUNTIF(Draft_Import!$D$2:'Draft_Import'!$D66,M$1),"")</f>
        <v/>
      </c>
      <c r="O66" t="str">
        <f>IF(Draft_Import!$D66=O$1,COUNTIF(Draft_Import!$D$2:'Draft_Import'!$D66,O$1),"")</f>
        <v/>
      </c>
      <c r="Q66" t="str">
        <f>IF(Draft_Import!$D66=Q$1,COUNTIF(Draft_Import!$D$2:'Draft_Import'!$D66,Q$1),"")</f>
        <v/>
      </c>
      <c r="S66" t="str">
        <f>IF(Draft_Import!$D66=S$1,COUNTIF(Draft_Import!$D$2:'Draft_Import'!$D66,S$1),"")</f>
        <v/>
      </c>
    </row>
    <row r="67" spans="1:19" x14ac:dyDescent="0.25">
      <c r="A67" t="str">
        <f>IF(Draft_Import!$D67=A$1,COUNTIF(Draft_Import!$D$2:'Draft_Import'!$D67,A$1),"")</f>
        <v/>
      </c>
      <c r="C67" t="str">
        <f>IF(Draft_Import!$D67=C$1,COUNTIF(Draft_Import!$D$2:'Draft_Import'!$D67,C$1),"")</f>
        <v/>
      </c>
      <c r="E67" t="str">
        <f>IF(Draft_Import!$D67=E$1,COUNTIF(Draft_Import!$D$2:'Draft_Import'!$D67,E$1),"")</f>
        <v/>
      </c>
      <c r="G67" t="str">
        <f>IF(Draft_Import!$D67=G$1,COUNTIF(Draft_Import!$D$2:'Draft_Import'!$D67,G$1),"")</f>
        <v/>
      </c>
      <c r="I67" t="str">
        <f>IF(Draft_Import!$D67=I$1,COUNTIF(Draft_Import!$D$2:'Draft_Import'!$D67,I$1),"")</f>
        <v/>
      </c>
      <c r="K67">
        <f>IF(Draft_Import!$D67=K$1,COUNTIF(Draft_Import!$D$2:'Draft_Import'!$D67,K$1),"")</f>
        <v>7</v>
      </c>
      <c r="M67" t="str">
        <f>IF(Draft_Import!$D67=M$1,COUNTIF(Draft_Import!$D$2:'Draft_Import'!$D67,M$1),"")</f>
        <v/>
      </c>
      <c r="O67" t="str">
        <f>IF(Draft_Import!$D67=O$1,COUNTIF(Draft_Import!$D$2:'Draft_Import'!$D67,O$1),"")</f>
        <v/>
      </c>
      <c r="Q67" t="str">
        <f>IF(Draft_Import!$D67=Q$1,COUNTIF(Draft_Import!$D$2:'Draft_Import'!$D67,Q$1),"")</f>
        <v/>
      </c>
      <c r="S67" t="str">
        <f>IF(Draft_Import!$D67=S$1,COUNTIF(Draft_Import!$D$2:'Draft_Import'!$D67,S$1),"")</f>
        <v/>
      </c>
    </row>
    <row r="68" spans="1:19" x14ac:dyDescent="0.25">
      <c r="A68" t="str">
        <f>IF(Draft_Import!$D68=A$1,COUNTIF(Draft_Import!$D$2:'Draft_Import'!$D68,A$1),"")</f>
        <v/>
      </c>
      <c r="C68" t="str">
        <f>IF(Draft_Import!$D68=C$1,COUNTIF(Draft_Import!$D$2:'Draft_Import'!$D68,C$1),"")</f>
        <v/>
      </c>
      <c r="E68" t="str">
        <f>IF(Draft_Import!$D68=E$1,COUNTIF(Draft_Import!$D$2:'Draft_Import'!$D68,E$1),"")</f>
        <v/>
      </c>
      <c r="G68" t="str">
        <f>IF(Draft_Import!$D68=G$1,COUNTIF(Draft_Import!$D$2:'Draft_Import'!$D68,G$1),"")</f>
        <v/>
      </c>
      <c r="I68" t="str">
        <f>IF(Draft_Import!$D68=I$1,COUNTIF(Draft_Import!$D$2:'Draft_Import'!$D68,I$1),"")</f>
        <v/>
      </c>
      <c r="K68" t="str">
        <f>IF(Draft_Import!$D68=K$1,COUNTIF(Draft_Import!$D$2:'Draft_Import'!$D68,K$1),"")</f>
        <v/>
      </c>
      <c r="M68">
        <f>IF(Draft_Import!$D68=M$1,COUNTIF(Draft_Import!$D$2:'Draft_Import'!$D68,M$1),"")</f>
        <v>7</v>
      </c>
      <c r="O68" t="str">
        <f>IF(Draft_Import!$D68=O$1,COUNTIF(Draft_Import!$D$2:'Draft_Import'!$D68,O$1),"")</f>
        <v/>
      </c>
      <c r="Q68" t="str">
        <f>IF(Draft_Import!$D68=Q$1,COUNTIF(Draft_Import!$D$2:'Draft_Import'!$D68,Q$1),"")</f>
        <v/>
      </c>
      <c r="S68" t="str">
        <f>IF(Draft_Import!$D68=S$1,COUNTIF(Draft_Import!$D$2:'Draft_Import'!$D68,S$1),"")</f>
        <v/>
      </c>
    </row>
    <row r="69" spans="1:19" x14ac:dyDescent="0.25">
      <c r="A69" t="str">
        <f>IF(Draft_Import!$D69=A$1,COUNTIF(Draft_Import!$D$2:'Draft_Import'!$D69,A$1),"")</f>
        <v/>
      </c>
      <c r="C69" t="str">
        <f>IF(Draft_Import!$D69=C$1,COUNTIF(Draft_Import!$D$2:'Draft_Import'!$D69,C$1),"")</f>
        <v/>
      </c>
      <c r="E69" t="str">
        <f>IF(Draft_Import!$D69=E$1,COUNTIF(Draft_Import!$D$2:'Draft_Import'!$D69,E$1),"")</f>
        <v/>
      </c>
      <c r="G69" t="str">
        <f>IF(Draft_Import!$D69=G$1,COUNTIF(Draft_Import!$D$2:'Draft_Import'!$D69,G$1),"")</f>
        <v/>
      </c>
      <c r="I69" t="str">
        <f>IF(Draft_Import!$D69=I$1,COUNTIF(Draft_Import!$D$2:'Draft_Import'!$D69,I$1),"")</f>
        <v/>
      </c>
      <c r="K69" t="str">
        <f>IF(Draft_Import!$D69=K$1,COUNTIF(Draft_Import!$D$2:'Draft_Import'!$D69,K$1),"")</f>
        <v/>
      </c>
      <c r="M69" t="str">
        <f>IF(Draft_Import!$D69=M$1,COUNTIF(Draft_Import!$D$2:'Draft_Import'!$D69,M$1),"")</f>
        <v/>
      </c>
      <c r="O69">
        <f>IF(Draft_Import!$D69=O$1,COUNTIF(Draft_Import!$D$2:'Draft_Import'!$D69,O$1),"")</f>
        <v>7</v>
      </c>
      <c r="Q69" t="str">
        <f>IF(Draft_Import!$D69=Q$1,COUNTIF(Draft_Import!$D$2:'Draft_Import'!$D69,Q$1),"")</f>
        <v/>
      </c>
      <c r="S69" t="str">
        <f>IF(Draft_Import!$D69=S$1,COUNTIF(Draft_Import!$D$2:'Draft_Import'!$D69,S$1),"")</f>
        <v/>
      </c>
    </row>
    <row r="70" spans="1:19" x14ac:dyDescent="0.25">
      <c r="A70" t="str">
        <f>IF(Draft_Import!$D70=A$1,COUNTIF(Draft_Import!$D$2:'Draft_Import'!$D70,A$1),"")</f>
        <v/>
      </c>
      <c r="C70" t="str">
        <f>IF(Draft_Import!$D70=C$1,COUNTIF(Draft_Import!$D$2:'Draft_Import'!$D70,C$1),"")</f>
        <v/>
      </c>
      <c r="E70" t="str">
        <f>IF(Draft_Import!$D70=E$1,COUNTIF(Draft_Import!$D$2:'Draft_Import'!$D70,E$1),"")</f>
        <v/>
      </c>
      <c r="G70" t="str">
        <f>IF(Draft_Import!$D70=G$1,COUNTIF(Draft_Import!$D$2:'Draft_Import'!$D70,G$1),"")</f>
        <v/>
      </c>
      <c r="I70" t="str">
        <f>IF(Draft_Import!$D70=I$1,COUNTIF(Draft_Import!$D$2:'Draft_Import'!$D70,I$1),"")</f>
        <v/>
      </c>
      <c r="K70" t="str">
        <f>IF(Draft_Import!$D70=K$1,COUNTIF(Draft_Import!$D$2:'Draft_Import'!$D70,K$1),"")</f>
        <v/>
      </c>
      <c r="M70" t="str">
        <f>IF(Draft_Import!$D70=M$1,COUNTIF(Draft_Import!$D$2:'Draft_Import'!$D70,M$1),"")</f>
        <v/>
      </c>
      <c r="O70" t="str">
        <f>IF(Draft_Import!$D70=O$1,COUNTIF(Draft_Import!$D$2:'Draft_Import'!$D70,O$1),"")</f>
        <v/>
      </c>
      <c r="Q70">
        <f>IF(Draft_Import!$D70=Q$1,COUNTIF(Draft_Import!$D$2:'Draft_Import'!$D70,Q$1),"")</f>
        <v>7</v>
      </c>
      <c r="S70" t="str">
        <f>IF(Draft_Import!$D70=S$1,COUNTIF(Draft_Import!$D$2:'Draft_Import'!$D70,S$1),"")</f>
        <v/>
      </c>
    </row>
    <row r="71" spans="1:19" x14ac:dyDescent="0.25">
      <c r="A71" t="str">
        <f>IF(Draft_Import!$D71=A$1,COUNTIF(Draft_Import!$D$2:'Draft_Import'!$D71,A$1),"")</f>
        <v/>
      </c>
      <c r="C71" t="str">
        <f>IF(Draft_Import!$D71=C$1,COUNTIF(Draft_Import!$D$2:'Draft_Import'!$D71,C$1),"")</f>
        <v/>
      </c>
      <c r="E71" t="str">
        <f>IF(Draft_Import!$D71=E$1,COUNTIF(Draft_Import!$D$2:'Draft_Import'!$D71,E$1),"")</f>
        <v/>
      </c>
      <c r="G71" t="str">
        <f>IF(Draft_Import!$D71=G$1,COUNTIF(Draft_Import!$D$2:'Draft_Import'!$D71,G$1),"")</f>
        <v/>
      </c>
      <c r="I71" t="str">
        <f>IF(Draft_Import!$D71=I$1,COUNTIF(Draft_Import!$D$2:'Draft_Import'!$D71,I$1),"")</f>
        <v/>
      </c>
      <c r="K71" t="str">
        <f>IF(Draft_Import!$D71=K$1,COUNTIF(Draft_Import!$D$2:'Draft_Import'!$D71,K$1),"")</f>
        <v/>
      </c>
      <c r="M71" t="str">
        <f>IF(Draft_Import!$D71=M$1,COUNTIF(Draft_Import!$D$2:'Draft_Import'!$D71,M$1),"")</f>
        <v/>
      </c>
      <c r="O71" t="str">
        <f>IF(Draft_Import!$D71=O$1,COUNTIF(Draft_Import!$D$2:'Draft_Import'!$D71,O$1),"")</f>
        <v/>
      </c>
      <c r="Q71" t="str">
        <f>IF(Draft_Import!$D71=Q$1,COUNTIF(Draft_Import!$D$2:'Draft_Import'!$D71,Q$1),"")</f>
        <v/>
      </c>
      <c r="S71">
        <f>IF(Draft_Import!$D71=S$1,COUNTIF(Draft_Import!$D$2:'Draft_Import'!$D71,S$1),"")</f>
        <v>7</v>
      </c>
    </row>
    <row r="72" spans="1:19" x14ac:dyDescent="0.25">
      <c r="A72" t="str">
        <f>IF(Draft_Import!$D72=A$1,COUNTIF(Draft_Import!$D$2:'Draft_Import'!$D72,A$1),"")</f>
        <v/>
      </c>
      <c r="C72" t="str">
        <f>IF(Draft_Import!$D72=C$1,COUNTIF(Draft_Import!$D$2:'Draft_Import'!$D72,C$1),"")</f>
        <v/>
      </c>
      <c r="E72" t="str">
        <f>IF(Draft_Import!$D72=E$1,COUNTIF(Draft_Import!$D$2:'Draft_Import'!$D72,E$1),"")</f>
        <v/>
      </c>
      <c r="G72" t="str">
        <f>IF(Draft_Import!$D72=G$1,COUNTIF(Draft_Import!$D$2:'Draft_Import'!$D72,G$1),"")</f>
        <v/>
      </c>
      <c r="I72" t="str">
        <f>IF(Draft_Import!$D72=I$1,COUNTIF(Draft_Import!$D$2:'Draft_Import'!$D72,I$1),"")</f>
        <v/>
      </c>
      <c r="K72" t="str">
        <f>IF(Draft_Import!$D72=K$1,COUNTIF(Draft_Import!$D$2:'Draft_Import'!$D72,K$1),"")</f>
        <v/>
      </c>
      <c r="M72" t="str">
        <f>IF(Draft_Import!$D72=M$1,COUNTIF(Draft_Import!$D$2:'Draft_Import'!$D72,M$1),"")</f>
        <v/>
      </c>
      <c r="O72" t="str">
        <f>IF(Draft_Import!$D72=O$1,COUNTIF(Draft_Import!$D$2:'Draft_Import'!$D72,O$1),"")</f>
        <v/>
      </c>
      <c r="Q72" t="str">
        <f>IF(Draft_Import!$D72=Q$1,COUNTIF(Draft_Import!$D$2:'Draft_Import'!$D72,Q$1),"")</f>
        <v/>
      </c>
      <c r="S72">
        <f>IF(Draft_Import!$D72=S$1,COUNTIF(Draft_Import!$D$2:'Draft_Import'!$D72,S$1),"")</f>
        <v>8</v>
      </c>
    </row>
    <row r="73" spans="1:19" x14ac:dyDescent="0.25">
      <c r="A73" t="str">
        <f>IF(Draft_Import!$D73=A$1,COUNTIF(Draft_Import!$D$2:'Draft_Import'!$D73,A$1),"")</f>
        <v/>
      </c>
      <c r="C73" t="str">
        <f>IF(Draft_Import!$D73=C$1,COUNTIF(Draft_Import!$D$2:'Draft_Import'!$D73,C$1),"")</f>
        <v/>
      </c>
      <c r="E73" t="str">
        <f>IF(Draft_Import!$D73=E$1,COUNTIF(Draft_Import!$D$2:'Draft_Import'!$D73,E$1),"")</f>
        <v/>
      </c>
      <c r="G73" t="str">
        <f>IF(Draft_Import!$D73=G$1,COUNTIF(Draft_Import!$D$2:'Draft_Import'!$D73,G$1),"")</f>
        <v/>
      </c>
      <c r="I73" t="str">
        <f>IF(Draft_Import!$D73=I$1,COUNTIF(Draft_Import!$D$2:'Draft_Import'!$D73,I$1),"")</f>
        <v/>
      </c>
      <c r="K73" t="str">
        <f>IF(Draft_Import!$D73=K$1,COUNTIF(Draft_Import!$D$2:'Draft_Import'!$D73,K$1),"")</f>
        <v/>
      </c>
      <c r="M73" t="str">
        <f>IF(Draft_Import!$D73=M$1,COUNTIF(Draft_Import!$D$2:'Draft_Import'!$D73,M$1),"")</f>
        <v/>
      </c>
      <c r="O73" t="str">
        <f>IF(Draft_Import!$D73=O$1,COUNTIF(Draft_Import!$D$2:'Draft_Import'!$D73,O$1),"")</f>
        <v/>
      </c>
      <c r="Q73">
        <f>IF(Draft_Import!$D73=Q$1,COUNTIF(Draft_Import!$D$2:'Draft_Import'!$D73,Q$1),"")</f>
        <v>8</v>
      </c>
      <c r="S73" t="str">
        <f>IF(Draft_Import!$D73=S$1,COUNTIF(Draft_Import!$D$2:'Draft_Import'!$D73,S$1),"")</f>
        <v/>
      </c>
    </row>
    <row r="74" spans="1:19" x14ac:dyDescent="0.25">
      <c r="A74" t="str">
        <f>IF(Draft_Import!$D74=A$1,COUNTIF(Draft_Import!$D$2:'Draft_Import'!$D74,A$1),"")</f>
        <v/>
      </c>
      <c r="C74" t="str">
        <f>IF(Draft_Import!$D74=C$1,COUNTIF(Draft_Import!$D$2:'Draft_Import'!$D74,C$1),"")</f>
        <v/>
      </c>
      <c r="E74" t="str">
        <f>IF(Draft_Import!$D74=E$1,COUNTIF(Draft_Import!$D$2:'Draft_Import'!$D74,E$1),"")</f>
        <v/>
      </c>
      <c r="G74" t="str">
        <f>IF(Draft_Import!$D74=G$1,COUNTIF(Draft_Import!$D$2:'Draft_Import'!$D74,G$1),"")</f>
        <v/>
      </c>
      <c r="I74" t="str">
        <f>IF(Draft_Import!$D74=I$1,COUNTIF(Draft_Import!$D$2:'Draft_Import'!$D74,I$1),"")</f>
        <v/>
      </c>
      <c r="K74" t="str">
        <f>IF(Draft_Import!$D74=K$1,COUNTIF(Draft_Import!$D$2:'Draft_Import'!$D74,K$1),"")</f>
        <v/>
      </c>
      <c r="M74" t="str">
        <f>IF(Draft_Import!$D74=M$1,COUNTIF(Draft_Import!$D$2:'Draft_Import'!$D74,M$1),"")</f>
        <v/>
      </c>
      <c r="O74">
        <f>IF(Draft_Import!$D74=O$1,COUNTIF(Draft_Import!$D$2:'Draft_Import'!$D74,O$1),"")</f>
        <v>8</v>
      </c>
      <c r="Q74" t="str">
        <f>IF(Draft_Import!$D74=Q$1,COUNTIF(Draft_Import!$D$2:'Draft_Import'!$D74,Q$1),"")</f>
        <v/>
      </c>
      <c r="S74" t="str">
        <f>IF(Draft_Import!$D74=S$1,COUNTIF(Draft_Import!$D$2:'Draft_Import'!$D74,S$1),"")</f>
        <v/>
      </c>
    </row>
    <row r="75" spans="1:19" x14ac:dyDescent="0.25">
      <c r="A75" t="str">
        <f>IF(Draft_Import!$D75=A$1,COUNTIF(Draft_Import!$D$2:'Draft_Import'!$D75,A$1),"")</f>
        <v/>
      </c>
      <c r="C75" t="str">
        <f>IF(Draft_Import!$D75=C$1,COUNTIF(Draft_Import!$D$2:'Draft_Import'!$D75,C$1),"")</f>
        <v/>
      </c>
      <c r="E75" t="str">
        <f>IF(Draft_Import!$D75=E$1,COUNTIF(Draft_Import!$D$2:'Draft_Import'!$D75,E$1),"")</f>
        <v/>
      </c>
      <c r="G75" t="str">
        <f>IF(Draft_Import!$D75=G$1,COUNTIF(Draft_Import!$D$2:'Draft_Import'!$D75,G$1),"")</f>
        <v/>
      </c>
      <c r="I75" t="str">
        <f>IF(Draft_Import!$D75=I$1,COUNTIF(Draft_Import!$D$2:'Draft_Import'!$D75,I$1),"")</f>
        <v/>
      </c>
      <c r="K75" t="str">
        <f>IF(Draft_Import!$D75=K$1,COUNTIF(Draft_Import!$D$2:'Draft_Import'!$D75,K$1),"")</f>
        <v/>
      </c>
      <c r="M75">
        <f>IF(Draft_Import!$D75=M$1,COUNTIF(Draft_Import!$D$2:'Draft_Import'!$D75,M$1),"")</f>
        <v>8</v>
      </c>
      <c r="O75" t="str">
        <f>IF(Draft_Import!$D75=O$1,COUNTIF(Draft_Import!$D$2:'Draft_Import'!$D75,O$1),"")</f>
        <v/>
      </c>
      <c r="Q75" t="str">
        <f>IF(Draft_Import!$D75=Q$1,COUNTIF(Draft_Import!$D$2:'Draft_Import'!$D75,Q$1),"")</f>
        <v/>
      </c>
      <c r="S75" t="str">
        <f>IF(Draft_Import!$D75=S$1,COUNTIF(Draft_Import!$D$2:'Draft_Import'!$D75,S$1),"")</f>
        <v/>
      </c>
    </row>
    <row r="76" spans="1:19" x14ac:dyDescent="0.25">
      <c r="A76" t="str">
        <f>IF(Draft_Import!$D76=A$1,COUNTIF(Draft_Import!$D$2:'Draft_Import'!$D76,A$1),"")</f>
        <v/>
      </c>
      <c r="C76" t="str">
        <f>IF(Draft_Import!$D76=C$1,COUNTIF(Draft_Import!$D$2:'Draft_Import'!$D76,C$1),"")</f>
        <v/>
      </c>
      <c r="E76" t="str">
        <f>IF(Draft_Import!$D76=E$1,COUNTIF(Draft_Import!$D$2:'Draft_Import'!$D76,E$1),"")</f>
        <v/>
      </c>
      <c r="G76" t="str">
        <f>IF(Draft_Import!$D76=G$1,COUNTIF(Draft_Import!$D$2:'Draft_Import'!$D76,G$1),"")</f>
        <v/>
      </c>
      <c r="I76" t="str">
        <f>IF(Draft_Import!$D76=I$1,COUNTIF(Draft_Import!$D$2:'Draft_Import'!$D76,I$1),"")</f>
        <v/>
      </c>
      <c r="K76">
        <f>IF(Draft_Import!$D76=K$1,COUNTIF(Draft_Import!$D$2:'Draft_Import'!$D76,K$1),"")</f>
        <v>8</v>
      </c>
      <c r="M76" t="str">
        <f>IF(Draft_Import!$D76=M$1,COUNTIF(Draft_Import!$D$2:'Draft_Import'!$D76,M$1),"")</f>
        <v/>
      </c>
      <c r="O76" t="str">
        <f>IF(Draft_Import!$D76=O$1,COUNTIF(Draft_Import!$D$2:'Draft_Import'!$D76,O$1),"")</f>
        <v/>
      </c>
      <c r="Q76" t="str">
        <f>IF(Draft_Import!$D76=Q$1,COUNTIF(Draft_Import!$D$2:'Draft_Import'!$D76,Q$1),"")</f>
        <v/>
      </c>
      <c r="S76" t="str">
        <f>IF(Draft_Import!$D76=S$1,COUNTIF(Draft_Import!$D$2:'Draft_Import'!$D76,S$1),"")</f>
        <v/>
      </c>
    </row>
    <row r="77" spans="1:19" x14ac:dyDescent="0.25">
      <c r="A77" t="str">
        <f>IF(Draft_Import!$D77=A$1,COUNTIF(Draft_Import!$D$2:'Draft_Import'!$D77,A$1),"")</f>
        <v/>
      </c>
      <c r="C77" t="str">
        <f>IF(Draft_Import!$D77=C$1,COUNTIF(Draft_Import!$D$2:'Draft_Import'!$D77,C$1),"")</f>
        <v/>
      </c>
      <c r="E77" t="str">
        <f>IF(Draft_Import!$D77=E$1,COUNTIF(Draft_Import!$D$2:'Draft_Import'!$D77,E$1),"")</f>
        <v/>
      </c>
      <c r="G77" t="str">
        <f>IF(Draft_Import!$D77=G$1,COUNTIF(Draft_Import!$D$2:'Draft_Import'!$D77,G$1),"")</f>
        <v/>
      </c>
      <c r="I77">
        <f>IF(Draft_Import!$D77=I$1,COUNTIF(Draft_Import!$D$2:'Draft_Import'!$D77,I$1),"")</f>
        <v>8</v>
      </c>
      <c r="K77" t="str">
        <f>IF(Draft_Import!$D77=K$1,COUNTIF(Draft_Import!$D$2:'Draft_Import'!$D77,K$1),"")</f>
        <v/>
      </c>
      <c r="M77" t="str">
        <f>IF(Draft_Import!$D77=M$1,COUNTIF(Draft_Import!$D$2:'Draft_Import'!$D77,M$1),"")</f>
        <v/>
      </c>
      <c r="O77" t="str">
        <f>IF(Draft_Import!$D77=O$1,COUNTIF(Draft_Import!$D$2:'Draft_Import'!$D77,O$1),"")</f>
        <v/>
      </c>
      <c r="Q77" t="str">
        <f>IF(Draft_Import!$D77=Q$1,COUNTIF(Draft_Import!$D$2:'Draft_Import'!$D77,Q$1),"")</f>
        <v/>
      </c>
      <c r="S77" t="str">
        <f>IF(Draft_Import!$D77=S$1,COUNTIF(Draft_Import!$D$2:'Draft_Import'!$D77,S$1),"")</f>
        <v/>
      </c>
    </row>
    <row r="78" spans="1:19" x14ac:dyDescent="0.25">
      <c r="A78" t="str">
        <f>IF(Draft_Import!$D78=A$1,COUNTIF(Draft_Import!$D$2:'Draft_Import'!$D78,A$1),"")</f>
        <v/>
      </c>
      <c r="C78" t="str">
        <f>IF(Draft_Import!$D78=C$1,COUNTIF(Draft_Import!$D$2:'Draft_Import'!$D78,C$1),"")</f>
        <v/>
      </c>
      <c r="E78" t="str">
        <f>IF(Draft_Import!$D78=E$1,COUNTIF(Draft_Import!$D$2:'Draft_Import'!$D78,E$1),"")</f>
        <v/>
      </c>
      <c r="G78">
        <f>IF(Draft_Import!$D78=G$1,COUNTIF(Draft_Import!$D$2:'Draft_Import'!$D78,G$1),"")</f>
        <v>8</v>
      </c>
      <c r="I78" t="str">
        <f>IF(Draft_Import!$D78=I$1,COUNTIF(Draft_Import!$D$2:'Draft_Import'!$D78,I$1),"")</f>
        <v/>
      </c>
      <c r="K78" t="str">
        <f>IF(Draft_Import!$D78=K$1,COUNTIF(Draft_Import!$D$2:'Draft_Import'!$D78,K$1),"")</f>
        <v/>
      </c>
      <c r="M78" t="str">
        <f>IF(Draft_Import!$D78=M$1,COUNTIF(Draft_Import!$D$2:'Draft_Import'!$D78,M$1),"")</f>
        <v/>
      </c>
      <c r="O78" t="str">
        <f>IF(Draft_Import!$D78=O$1,COUNTIF(Draft_Import!$D$2:'Draft_Import'!$D78,O$1),"")</f>
        <v/>
      </c>
      <c r="Q78" t="str">
        <f>IF(Draft_Import!$D78=Q$1,COUNTIF(Draft_Import!$D$2:'Draft_Import'!$D78,Q$1),"")</f>
        <v/>
      </c>
      <c r="S78" t="str">
        <f>IF(Draft_Import!$D78=S$1,COUNTIF(Draft_Import!$D$2:'Draft_Import'!$D78,S$1),"")</f>
        <v/>
      </c>
    </row>
    <row r="79" spans="1:19" x14ac:dyDescent="0.25">
      <c r="A79" t="str">
        <f>IF(Draft_Import!$D79=A$1,COUNTIF(Draft_Import!$D$2:'Draft_Import'!$D79,A$1),"")</f>
        <v/>
      </c>
      <c r="C79" t="str">
        <f>IF(Draft_Import!$D79=C$1,COUNTIF(Draft_Import!$D$2:'Draft_Import'!$D79,C$1),"")</f>
        <v/>
      </c>
      <c r="E79">
        <f>IF(Draft_Import!$D79=E$1,COUNTIF(Draft_Import!$D$2:'Draft_Import'!$D79,E$1),"")</f>
        <v>8</v>
      </c>
      <c r="G79" t="str">
        <f>IF(Draft_Import!$D79=G$1,COUNTIF(Draft_Import!$D$2:'Draft_Import'!$D79,G$1),"")</f>
        <v/>
      </c>
      <c r="I79" t="str">
        <f>IF(Draft_Import!$D79=I$1,COUNTIF(Draft_Import!$D$2:'Draft_Import'!$D79,I$1),"")</f>
        <v/>
      </c>
      <c r="K79" t="str">
        <f>IF(Draft_Import!$D79=K$1,COUNTIF(Draft_Import!$D$2:'Draft_Import'!$D79,K$1),"")</f>
        <v/>
      </c>
      <c r="M79" t="str">
        <f>IF(Draft_Import!$D79=M$1,COUNTIF(Draft_Import!$D$2:'Draft_Import'!$D79,M$1),"")</f>
        <v/>
      </c>
      <c r="O79" t="str">
        <f>IF(Draft_Import!$D79=O$1,COUNTIF(Draft_Import!$D$2:'Draft_Import'!$D79,O$1),"")</f>
        <v/>
      </c>
      <c r="Q79" t="str">
        <f>IF(Draft_Import!$D79=Q$1,COUNTIF(Draft_Import!$D$2:'Draft_Import'!$D79,Q$1),"")</f>
        <v/>
      </c>
      <c r="S79" t="str">
        <f>IF(Draft_Import!$D79=S$1,COUNTIF(Draft_Import!$D$2:'Draft_Import'!$D79,S$1),"")</f>
        <v/>
      </c>
    </row>
    <row r="80" spans="1:19" x14ac:dyDescent="0.25">
      <c r="A80" t="str">
        <f>IF(Draft_Import!$D80=A$1,COUNTIF(Draft_Import!$D$2:'Draft_Import'!$D80,A$1),"")</f>
        <v/>
      </c>
      <c r="C80">
        <f>IF(Draft_Import!$D80=C$1,COUNTIF(Draft_Import!$D$2:'Draft_Import'!$D80,C$1),"")</f>
        <v>8</v>
      </c>
      <c r="E80" t="str">
        <f>IF(Draft_Import!$D80=E$1,COUNTIF(Draft_Import!$D$2:'Draft_Import'!$D80,E$1),"")</f>
        <v/>
      </c>
      <c r="G80" t="str">
        <f>IF(Draft_Import!$D80=G$1,COUNTIF(Draft_Import!$D$2:'Draft_Import'!$D80,G$1),"")</f>
        <v/>
      </c>
      <c r="I80" t="str">
        <f>IF(Draft_Import!$D80=I$1,COUNTIF(Draft_Import!$D$2:'Draft_Import'!$D80,I$1),"")</f>
        <v/>
      </c>
      <c r="K80" t="str">
        <f>IF(Draft_Import!$D80=K$1,COUNTIF(Draft_Import!$D$2:'Draft_Import'!$D80,K$1),"")</f>
        <v/>
      </c>
      <c r="M80" t="str">
        <f>IF(Draft_Import!$D80=M$1,COUNTIF(Draft_Import!$D$2:'Draft_Import'!$D80,M$1),"")</f>
        <v/>
      </c>
      <c r="O80" t="str">
        <f>IF(Draft_Import!$D80=O$1,COUNTIF(Draft_Import!$D$2:'Draft_Import'!$D80,O$1),"")</f>
        <v/>
      </c>
      <c r="Q80" t="str">
        <f>IF(Draft_Import!$D80=Q$1,COUNTIF(Draft_Import!$D$2:'Draft_Import'!$D80,Q$1),"")</f>
        <v/>
      </c>
      <c r="S80" t="str">
        <f>IF(Draft_Import!$D80=S$1,COUNTIF(Draft_Import!$D$2:'Draft_Import'!$D80,S$1),"")</f>
        <v/>
      </c>
    </row>
    <row r="81" spans="1:19" x14ac:dyDescent="0.25">
      <c r="A81">
        <f>IF(Draft_Import!$D81=A$1,COUNTIF(Draft_Import!$D$2:'Draft_Import'!$D81,A$1),"")</f>
        <v>8</v>
      </c>
      <c r="C81" t="str">
        <f>IF(Draft_Import!$D81=C$1,COUNTIF(Draft_Import!$D$2:'Draft_Import'!$D81,C$1),"")</f>
        <v/>
      </c>
      <c r="E81" t="str">
        <f>IF(Draft_Import!$D81=E$1,COUNTIF(Draft_Import!$D$2:'Draft_Import'!$D81,E$1),"")</f>
        <v/>
      </c>
      <c r="G81" t="str">
        <f>IF(Draft_Import!$D81=G$1,COUNTIF(Draft_Import!$D$2:'Draft_Import'!$D81,G$1),"")</f>
        <v/>
      </c>
      <c r="I81" t="str">
        <f>IF(Draft_Import!$D81=I$1,COUNTIF(Draft_Import!$D$2:'Draft_Import'!$D81,I$1),"")</f>
        <v/>
      </c>
      <c r="K81" t="str">
        <f>IF(Draft_Import!$D81=K$1,COUNTIF(Draft_Import!$D$2:'Draft_Import'!$D81,K$1),"")</f>
        <v/>
      </c>
      <c r="M81" t="str">
        <f>IF(Draft_Import!$D81=M$1,COUNTIF(Draft_Import!$D$2:'Draft_Import'!$D81,M$1),"")</f>
        <v/>
      </c>
      <c r="O81" t="str">
        <f>IF(Draft_Import!$D81=O$1,COUNTIF(Draft_Import!$D$2:'Draft_Import'!$D81,O$1),"")</f>
        <v/>
      </c>
      <c r="Q81" t="str">
        <f>IF(Draft_Import!$D81=Q$1,COUNTIF(Draft_Import!$D$2:'Draft_Import'!$D81,Q$1),"")</f>
        <v/>
      </c>
      <c r="S81" t="str">
        <f>IF(Draft_Import!$D81=S$1,COUNTIF(Draft_Import!$D$2:'Draft_Import'!$D81,S$1),"")</f>
        <v/>
      </c>
    </row>
    <row r="82" spans="1:19" x14ac:dyDescent="0.25">
      <c r="A82">
        <f>IF(Draft_Import!$D82=A$1,COUNTIF(Draft_Import!$D$2:'Draft_Import'!$D82,A$1),"")</f>
        <v>9</v>
      </c>
      <c r="C82" t="str">
        <f>IF(Draft_Import!$D82=C$1,COUNTIF(Draft_Import!$D$2:'Draft_Import'!$D82,C$1),"")</f>
        <v/>
      </c>
      <c r="E82" t="str">
        <f>IF(Draft_Import!$D82=E$1,COUNTIF(Draft_Import!$D$2:'Draft_Import'!$D82,E$1),"")</f>
        <v/>
      </c>
      <c r="G82" t="str">
        <f>IF(Draft_Import!$D82=G$1,COUNTIF(Draft_Import!$D$2:'Draft_Import'!$D82,G$1),"")</f>
        <v/>
      </c>
      <c r="I82" t="str">
        <f>IF(Draft_Import!$D82=I$1,COUNTIF(Draft_Import!$D$2:'Draft_Import'!$D82,I$1),"")</f>
        <v/>
      </c>
      <c r="K82" t="str">
        <f>IF(Draft_Import!$D82=K$1,COUNTIF(Draft_Import!$D$2:'Draft_Import'!$D82,K$1),"")</f>
        <v/>
      </c>
      <c r="M82" t="str">
        <f>IF(Draft_Import!$D82=M$1,COUNTIF(Draft_Import!$D$2:'Draft_Import'!$D82,M$1),"")</f>
        <v/>
      </c>
      <c r="O82" t="str">
        <f>IF(Draft_Import!$D82=O$1,COUNTIF(Draft_Import!$D$2:'Draft_Import'!$D82,O$1),"")</f>
        <v/>
      </c>
      <c r="Q82" t="str">
        <f>IF(Draft_Import!$D82=Q$1,COUNTIF(Draft_Import!$D$2:'Draft_Import'!$D82,Q$1),"")</f>
        <v/>
      </c>
      <c r="S82" t="str">
        <f>IF(Draft_Import!$D82=S$1,COUNTIF(Draft_Import!$D$2:'Draft_Import'!$D82,S$1),"")</f>
        <v/>
      </c>
    </row>
    <row r="83" spans="1:19" x14ac:dyDescent="0.25">
      <c r="A83" t="str">
        <f>IF(Draft_Import!$D83=A$1,COUNTIF(Draft_Import!$D$2:'Draft_Import'!$D83,A$1),"")</f>
        <v/>
      </c>
      <c r="C83">
        <f>IF(Draft_Import!$D83=C$1,COUNTIF(Draft_Import!$D$2:'Draft_Import'!$D83,C$1),"")</f>
        <v>9</v>
      </c>
      <c r="E83" t="str">
        <f>IF(Draft_Import!$D83=E$1,COUNTIF(Draft_Import!$D$2:'Draft_Import'!$D83,E$1),"")</f>
        <v/>
      </c>
      <c r="G83" t="str">
        <f>IF(Draft_Import!$D83=G$1,COUNTIF(Draft_Import!$D$2:'Draft_Import'!$D83,G$1),"")</f>
        <v/>
      </c>
      <c r="I83" t="str">
        <f>IF(Draft_Import!$D83=I$1,COUNTIF(Draft_Import!$D$2:'Draft_Import'!$D83,I$1),"")</f>
        <v/>
      </c>
      <c r="K83" t="str">
        <f>IF(Draft_Import!$D83=K$1,COUNTIF(Draft_Import!$D$2:'Draft_Import'!$D83,K$1),"")</f>
        <v/>
      </c>
      <c r="M83" t="str">
        <f>IF(Draft_Import!$D83=M$1,COUNTIF(Draft_Import!$D$2:'Draft_Import'!$D83,M$1),"")</f>
        <v/>
      </c>
      <c r="O83" t="str">
        <f>IF(Draft_Import!$D83=O$1,COUNTIF(Draft_Import!$D$2:'Draft_Import'!$D83,O$1),"")</f>
        <v/>
      </c>
      <c r="Q83" t="str">
        <f>IF(Draft_Import!$D83=Q$1,COUNTIF(Draft_Import!$D$2:'Draft_Import'!$D83,Q$1),"")</f>
        <v/>
      </c>
      <c r="S83" t="str">
        <f>IF(Draft_Import!$D83=S$1,COUNTIF(Draft_Import!$D$2:'Draft_Import'!$D83,S$1),"")</f>
        <v/>
      </c>
    </row>
    <row r="84" spans="1:19" x14ac:dyDescent="0.25">
      <c r="A84" t="str">
        <f>IF(Draft_Import!$D84=A$1,COUNTIF(Draft_Import!$D$2:'Draft_Import'!$D84,A$1),"")</f>
        <v/>
      </c>
      <c r="C84" t="str">
        <f>IF(Draft_Import!$D84=C$1,COUNTIF(Draft_Import!$D$2:'Draft_Import'!$D84,C$1),"")</f>
        <v/>
      </c>
      <c r="E84">
        <f>IF(Draft_Import!$D84=E$1,COUNTIF(Draft_Import!$D$2:'Draft_Import'!$D84,E$1),"")</f>
        <v>9</v>
      </c>
      <c r="G84" t="str">
        <f>IF(Draft_Import!$D84=G$1,COUNTIF(Draft_Import!$D$2:'Draft_Import'!$D84,G$1),"")</f>
        <v/>
      </c>
      <c r="I84" t="str">
        <f>IF(Draft_Import!$D84=I$1,COUNTIF(Draft_Import!$D$2:'Draft_Import'!$D84,I$1),"")</f>
        <v/>
      </c>
      <c r="K84" t="str">
        <f>IF(Draft_Import!$D84=K$1,COUNTIF(Draft_Import!$D$2:'Draft_Import'!$D84,K$1),"")</f>
        <v/>
      </c>
      <c r="M84" t="str">
        <f>IF(Draft_Import!$D84=M$1,COUNTIF(Draft_Import!$D$2:'Draft_Import'!$D84,M$1),"")</f>
        <v/>
      </c>
      <c r="O84" t="str">
        <f>IF(Draft_Import!$D84=O$1,COUNTIF(Draft_Import!$D$2:'Draft_Import'!$D84,O$1),"")</f>
        <v/>
      </c>
      <c r="Q84" t="str">
        <f>IF(Draft_Import!$D84=Q$1,COUNTIF(Draft_Import!$D$2:'Draft_Import'!$D84,Q$1),"")</f>
        <v/>
      </c>
      <c r="S84" t="str">
        <f>IF(Draft_Import!$D84=S$1,COUNTIF(Draft_Import!$D$2:'Draft_Import'!$D84,S$1),"")</f>
        <v/>
      </c>
    </row>
    <row r="85" spans="1:19" x14ac:dyDescent="0.25">
      <c r="A85" t="str">
        <f>IF(Draft_Import!$D85=A$1,COUNTIF(Draft_Import!$D$2:'Draft_Import'!$D85,A$1),"")</f>
        <v/>
      </c>
      <c r="C85" t="str">
        <f>IF(Draft_Import!$D85=C$1,COUNTIF(Draft_Import!$D$2:'Draft_Import'!$D85,C$1),"")</f>
        <v/>
      </c>
      <c r="E85" t="str">
        <f>IF(Draft_Import!$D85=E$1,COUNTIF(Draft_Import!$D$2:'Draft_Import'!$D85,E$1),"")</f>
        <v/>
      </c>
      <c r="G85">
        <f>IF(Draft_Import!$D85=G$1,COUNTIF(Draft_Import!$D$2:'Draft_Import'!$D85,G$1),"")</f>
        <v>9</v>
      </c>
      <c r="I85" t="str">
        <f>IF(Draft_Import!$D85=I$1,COUNTIF(Draft_Import!$D$2:'Draft_Import'!$D85,I$1),"")</f>
        <v/>
      </c>
      <c r="K85" t="str">
        <f>IF(Draft_Import!$D85=K$1,COUNTIF(Draft_Import!$D$2:'Draft_Import'!$D85,K$1),"")</f>
        <v/>
      </c>
      <c r="M85" t="str">
        <f>IF(Draft_Import!$D85=M$1,COUNTIF(Draft_Import!$D$2:'Draft_Import'!$D85,M$1),"")</f>
        <v/>
      </c>
      <c r="O85" t="str">
        <f>IF(Draft_Import!$D85=O$1,COUNTIF(Draft_Import!$D$2:'Draft_Import'!$D85,O$1),"")</f>
        <v/>
      </c>
      <c r="Q85" t="str">
        <f>IF(Draft_Import!$D85=Q$1,COUNTIF(Draft_Import!$D$2:'Draft_Import'!$D85,Q$1),"")</f>
        <v/>
      </c>
      <c r="S85" t="str">
        <f>IF(Draft_Import!$D85=S$1,COUNTIF(Draft_Import!$D$2:'Draft_Import'!$D85,S$1),"")</f>
        <v/>
      </c>
    </row>
    <row r="86" spans="1:19" x14ac:dyDescent="0.25">
      <c r="A86" t="str">
        <f>IF(Draft_Import!$D86=A$1,COUNTIF(Draft_Import!$D$2:'Draft_Import'!$D86,A$1),"")</f>
        <v/>
      </c>
      <c r="C86" t="str">
        <f>IF(Draft_Import!$D86=C$1,COUNTIF(Draft_Import!$D$2:'Draft_Import'!$D86,C$1),"")</f>
        <v/>
      </c>
      <c r="E86" t="str">
        <f>IF(Draft_Import!$D86=E$1,COUNTIF(Draft_Import!$D$2:'Draft_Import'!$D86,E$1),"")</f>
        <v/>
      </c>
      <c r="G86" t="str">
        <f>IF(Draft_Import!$D86=G$1,COUNTIF(Draft_Import!$D$2:'Draft_Import'!$D86,G$1),"")</f>
        <v/>
      </c>
      <c r="I86">
        <f>IF(Draft_Import!$D86=I$1,COUNTIF(Draft_Import!$D$2:'Draft_Import'!$D86,I$1),"")</f>
        <v>9</v>
      </c>
      <c r="K86" t="str">
        <f>IF(Draft_Import!$D86=K$1,COUNTIF(Draft_Import!$D$2:'Draft_Import'!$D86,K$1),"")</f>
        <v/>
      </c>
      <c r="M86" t="str">
        <f>IF(Draft_Import!$D86=M$1,COUNTIF(Draft_Import!$D$2:'Draft_Import'!$D86,M$1),"")</f>
        <v/>
      </c>
      <c r="O86" t="str">
        <f>IF(Draft_Import!$D86=O$1,COUNTIF(Draft_Import!$D$2:'Draft_Import'!$D86,O$1),"")</f>
        <v/>
      </c>
      <c r="Q86" t="str">
        <f>IF(Draft_Import!$D86=Q$1,COUNTIF(Draft_Import!$D$2:'Draft_Import'!$D86,Q$1),"")</f>
        <v/>
      </c>
      <c r="S86" t="str">
        <f>IF(Draft_Import!$D86=S$1,COUNTIF(Draft_Import!$D$2:'Draft_Import'!$D86,S$1),"")</f>
        <v/>
      </c>
    </row>
    <row r="87" spans="1:19" x14ac:dyDescent="0.25">
      <c r="A87" t="str">
        <f>IF(Draft_Import!$D87=A$1,COUNTIF(Draft_Import!$D$2:'Draft_Import'!$D87,A$1),"")</f>
        <v/>
      </c>
      <c r="C87" t="str">
        <f>IF(Draft_Import!$D87=C$1,COUNTIF(Draft_Import!$D$2:'Draft_Import'!$D87,C$1),"")</f>
        <v/>
      </c>
      <c r="E87" t="str">
        <f>IF(Draft_Import!$D87=E$1,COUNTIF(Draft_Import!$D$2:'Draft_Import'!$D87,E$1),"")</f>
        <v/>
      </c>
      <c r="G87" t="str">
        <f>IF(Draft_Import!$D87=G$1,COUNTIF(Draft_Import!$D$2:'Draft_Import'!$D87,G$1),"")</f>
        <v/>
      </c>
      <c r="I87" t="str">
        <f>IF(Draft_Import!$D87=I$1,COUNTIF(Draft_Import!$D$2:'Draft_Import'!$D87,I$1),"")</f>
        <v/>
      </c>
      <c r="K87">
        <f>IF(Draft_Import!$D87=K$1,COUNTIF(Draft_Import!$D$2:'Draft_Import'!$D87,K$1),"")</f>
        <v>9</v>
      </c>
      <c r="M87" t="str">
        <f>IF(Draft_Import!$D87=M$1,COUNTIF(Draft_Import!$D$2:'Draft_Import'!$D87,M$1),"")</f>
        <v/>
      </c>
      <c r="O87" t="str">
        <f>IF(Draft_Import!$D87=O$1,COUNTIF(Draft_Import!$D$2:'Draft_Import'!$D87,O$1),"")</f>
        <v/>
      </c>
      <c r="Q87" t="str">
        <f>IF(Draft_Import!$D87=Q$1,COUNTIF(Draft_Import!$D$2:'Draft_Import'!$D87,Q$1),"")</f>
        <v/>
      </c>
      <c r="S87" t="str">
        <f>IF(Draft_Import!$D87=S$1,COUNTIF(Draft_Import!$D$2:'Draft_Import'!$D87,S$1),"")</f>
        <v/>
      </c>
    </row>
    <row r="88" spans="1:19" x14ac:dyDescent="0.25">
      <c r="A88" t="str">
        <f>IF(Draft_Import!$D88=A$1,COUNTIF(Draft_Import!$D$2:'Draft_Import'!$D88,A$1),"")</f>
        <v/>
      </c>
      <c r="C88" t="str">
        <f>IF(Draft_Import!$D88=C$1,COUNTIF(Draft_Import!$D$2:'Draft_Import'!$D88,C$1),"")</f>
        <v/>
      </c>
      <c r="E88" t="str">
        <f>IF(Draft_Import!$D88=E$1,COUNTIF(Draft_Import!$D$2:'Draft_Import'!$D88,E$1),"")</f>
        <v/>
      </c>
      <c r="G88" t="str">
        <f>IF(Draft_Import!$D88=G$1,COUNTIF(Draft_Import!$D$2:'Draft_Import'!$D88,G$1),"")</f>
        <v/>
      </c>
      <c r="I88" t="str">
        <f>IF(Draft_Import!$D88=I$1,COUNTIF(Draft_Import!$D$2:'Draft_Import'!$D88,I$1),"")</f>
        <v/>
      </c>
      <c r="K88" t="str">
        <f>IF(Draft_Import!$D88=K$1,COUNTIF(Draft_Import!$D$2:'Draft_Import'!$D88,K$1),"")</f>
        <v/>
      </c>
      <c r="M88">
        <f>IF(Draft_Import!$D88=M$1,COUNTIF(Draft_Import!$D$2:'Draft_Import'!$D88,M$1),"")</f>
        <v>9</v>
      </c>
      <c r="O88" t="str">
        <f>IF(Draft_Import!$D88=O$1,COUNTIF(Draft_Import!$D$2:'Draft_Import'!$D88,O$1),"")</f>
        <v/>
      </c>
      <c r="Q88" t="str">
        <f>IF(Draft_Import!$D88=Q$1,COUNTIF(Draft_Import!$D$2:'Draft_Import'!$D88,Q$1),"")</f>
        <v/>
      </c>
      <c r="S88" t="str">
        <f>IF(Draft_Import!$D88=S$1,COUNTIF(Draft_Import!$D$2:'Draft_Import'!$D88,S$1),"")</f>
        <v/>
      </c>
    </row>
    <row r="89" spans="1:19" x14ac:dyDescent="0.25">
      <c r="A89" t="str">
        <f>IF(Draft_Import!$D89=A$1,COUNTIF(Draft_Import!$D$2:'Draft_Import'!$D89,A$1),"")</f>
        <v/>
      </c>
      <c r="C89" t="str">
        <f>IF(Draft_Import!$D89=C$1,COUNTIF(Draft_Import!$D$2:'Draft_Import'!$D89,C$1),"")</f>
        <v/>
      </c>
      <c r="E89" t="str">
        <f>IF(Draft_Import!$D89=E$1,COUNTIF(Draft_Import!$D$2:'Draft_Import'!$D89,E$1),"")</f>
        <v/>
      </c>
      <c r="G89" t="str">
        <f>IF(Draft_Import!$D89=G$1,COUNTIF(Draft_Import!$D$2:'Draft_Import'!$D89,G$1),"")</f>
        <v/>
      </c>
      <c r="I89" t="str">
        <f>IF(Draft_Import!$D89=I$1,COUNTIF(Draft_Import!$D$2:'Draft_Import'!$D89,I$1),"")</f>
        <v/>
      </c>
      <c r="K89" t="str">
        <f>IF(Draft_Import!$D89=K$1,COUNTIF(Draft_Import!$D$2:'Draft_Import'!$D89,K$1),"")</f>
        <v/>
      </c>
      <c r="M89" t="str">
        <f>IF(Draft_Import!$D89=M$1,COUNTIF(Draft_Import!$D$2:'Draft_Import'!$D89,M$1),"")</f>
        <v/>
      </c>
      <c r="O89">
        <f>IF(Draft_Import!$D89=O$1,COUNTIF(Draft_Import!$D$2:'Draft_Import'!$D89,O$1),"")</f>
        <v>9</v>
      </c>
      <c r="Q89" t="str">
        <f>IF(Draft_Import!$D89=Q$1,COUNTIF(Draft_Import!$D$2:'Draft_Import'!$D89,Q$1),"")</f>
        <v/>
      </c>
      <c r="S89" t="str">
        <f>IF(Draft_Import!$D89=S$1,COUNTIF(Draft_Import!$D$2:'Draft_Import'!$D89,S$1),"")</f>
        <v/>
      </c>
    </row>
    <row r="90" spans="1:19" x14ac:dyDescent="0.25">
      <c r="A90" t="str">
        <f>IF(Draft_Import!$D90=A$1,COUNTIF(Draft_Import!$D$2:'Draft_Import'!$D90,A$1),"")</f>
        <v/>
      </c>
      <c r="C90" t="str">
        <f>IF(Draft_Import!$D90=C$1,COUNTIF(Draft_Import!$D$2:'Draft_Import'!$D90,C$1),"")</f>
        <v/>
      </c>
      <c r="E90" t="str">
        <f>IF(Draft_Import!$D90=E$1,COUNTIF(Draft_Import!$D$2:'Draft_Import'!$D90,E$1),"")</f>
        <v/>
      </c>
      <c r="G90" t="str">
        <f>IF(Draft_Import!$D90=G$1,COUNTIF(Draft_Import!$D$2:'Draft_Import'!$D90,G$1),"")</f>
        <v/>
      </c>
      <c r="I90" t="str">
        <f>IF(Draft_Import!$D90=I$1,COUNTIF(Draft_Import!$D$2:'Draft_Import'!$D90,I$1),"")</f>
        <v/>
      </c>
      <c r="K90" t="str">
        <f>IF(Draft_Import!$D90=K$1,COUNTIF(Draft_Import!$D$2:'Draft_Import'!$D90,K$1),"")</f>
        <v/>
      </c>
      <c r="M90" t="str">
        <f>IF(Draft_Import!$D90=M$1,COUNTIF(Draft_Import!$D$2:'Draft_Import'!$D90,M$1),"")</f>
        <v/>
      </c>
      <c r="O90" t="str">
        <f>IF(Draft_Import!$D90=O$1,COUNTIF(Draft_Import!$D$2:'Draft_Import'!$D90,O$1),"")</f>
        <v/>
      </c>
      <c r="Q90">
        <f>IF(Draft_Import!$D90=Q$1,COUNTIF(Draft_Import!$D$2:'Draft_Import'!$D90,Q$1),"")</f>
        <v>9</v>
      </c>
      <c r="S90" t="str">
        <f>IF(Draft_Import!$D90=S$1,COUNTIF(Draft_Import!$D$2:'Draft_Import'!$D90,S$1),"")</f>
        <v/>
      </c>
    </row>
    <row r="91" spans="1:19" x14ac:dyDescent="0.25">
      <c r="A91" t="str">
        <f>IF(Draft_Import!$D91=A$1,COUNTIF(Draft_Import!$D$2:'Draft_Import'!$D91,A$1),"")</f>
        <v/>
      </c>
      <c r="C91" t="str">
        <f>IF(Draft_Import!$D91=C$1,COUNTIF(Draft_Import!$D$2:'Draft_Import'!$D91,C$1),"")</f>
        <v/>
      </c>
      <c r="E91" t="str">
        <f>IF(Draft_Import!$D91=E$1,COUNTIF(Draft_Import!$D$2:'Draft_Import'!$D91,E$1),"")</f>
        <v/>
      </c>
      <c r="G91" t="str">
        <f>IF(Draft_Import!$D91=G$1,COUNTIF(Draft_Import!$D$2:'Draft_Import'!$D91,G$1),"")</f>
        <v/>
      </c>
      <c r="I91" t="str">
        <f>IF(Draft_Import!$D91=I$1,COUNTIF(Draft_Import!$D$2:'Draft_Import'!$D91,I$1),"")</f>
        <v/>
      </c>
      <c r="K91" t="str">
        <f>IF(Draft_Import!$D91=K$1,COUNTIF(Draft_Import!$D$2:'Draft_Import'!$D91,K$1),"")</f>
        <v/>
      </c>
      <c r="M91" t="str">
        <f>IF(Draft_Import!$D91=M$1,COUNTIF(Draft_Import!$D$2:'Draft_Import'!$D91,M$1),"")</f>
        <v/>
      </c>
      <c r="O91" t="str">
        <f>IF(Draft_Import!$D91=O$1,COUNTIF(Draft_Import!$D$2:'Draft_Import'!$D91,O$1),"")</f>
        <v/>
      </c>
      <c r="Q91" t="str">
        <f>IF(Draft_Import!$D91=Q$1,COUNTIF(Draft_Import!$D$2:'Draft_Import'!$D91,Q$1),"")</f>
        <v/>
      </c>
      <c r="S91">
        <f>IF(Draft_Import!$D91=S$1,COUNTIF(Draft_Import!$D$2:'Draft_Import'!$D91,S$1),"")</f>
        <v>9</v>
      </c>
    </row>
    <row r="92" spans="1:19" x14ac:dyDescent="0.25">
      <c r="A92" t="str">
        <f>IF(Draft_Import!$D92=A$1,COUNTIF(Draft_Import!$D$2:'Draft_Import'!$D92,A$1),"")</f>
        <v/>
      </c>
      <c r="C92" t="str">
        <f>IF(Draft_Import!$D92=C$1,COUNTIF(Draft_Import!$D$2:'Draft_Import'!$D92,C$1),"")</f>
        <v/>
      </c>
      <c r="E92" t="str">
        <f>IF(Draft_Import!$D92=E$1,COUNTIF(Draft_Import!$D$2:'Draft_Import'!$D92,E$1),"")</f>
        <v/>
      </c>
      <c r="G92" t="str">
        <f>IF(Draft_Import!$D92=G$1,COUNTIF(Draft_Import!$D$2:'Draft_Import'!$D92,G$1),"")</f>
        <v/>
      </c>
      <c r="I92" t="str">
        <f>IF(Draft_Import!$D92=I$1,COUNTIF(Draft_Import!$D$2:'Draft_Import'!$D92,I$1),"")</f>
        <v/>
      </c>
      <c r="K92" t="str">
        <f>IF(Draft_Import!$D92=K$1,COUNTIF(Draft_Import!$D$2:'Draft_Import'!$D92,K$1),"")</f>
        <v/>
      </c>
      <c r="M92" t="str">
        <f>IF(Draft_Import!$D92=M$1,COUNTIF(Draft_Import!$D$2:'Draft_Import'!$D92,M$1),"")</f>
        <v/>
      </c>
      <c r="O92" t="str">
        <f>IF(Draft_Import!$D92=O$1,COUNTIF(Draft_Import!$D$2:'Draft_Import'!$D92,O$1),"")</f>
        <v/>
      </c>
      <c r="Q92" t="str">
        <f>IF(Draft_Import!$D92=Q$1,COUNTIF(Draft_Import!$D$2:'Draft_Import'!$D92,Q$1),"")</f>
        <v/>
      </c>
      <c r="S92">
        <f>IF(Draft_Import!$D92=S$1,COUNTIF(Draft_Import!$D$2:'Draft_Import'!$D92,S$1),"")</f>
        <v>10</v>
      </c>
    </row>
    <row r="93" spans="1:19" x14ac:dyDescent="0.25">
      <c r="A93" t="str">
        <f>IF(Draft_Import!$D93=A$1,COUNTIF(Draft_Import!$D$2:'Draft_Import'!$D93,A$1),"")</f>
        <v/>
      </c>
      <c r="C93" t="str">
        <f>IF(Draft_Import!$D93=C$1,COUNTIF(Draft_Import!$D$2:'Draft_Import'!$D93,C$1),"")</f>
        <v/>
      </c>
      <c r="E93" t="str">
        <f>IF(Draft_Import!$D93=E$1,COUNTIF(Draft_Import!$D$2:'Draft_Import'!$D93,E$1),"")</f>
        <v/>
      </c>
      <c r="G93" t="str">
        <f>IF(Draft_Import!$D93=G$1,COUNTIF(Draft_Import!$D$2:'Draft_Import'!$D93,G$1),"")</f>
        <v/>
      </c>
      <c r="I93" t="str">
        <f>IF(Draft_Import!$D93=I$1,COUNTIF(Draft_Import!$D$2:'Draft_Import'!$D93,I$1),"")</f>
        <v/>
      </c>
      <c r="K93" t="str">
        <f>IF(Draft_Import!$D93=K$1,COUNTIF(Draft_Import!$D$2:'Draft_Import'!$D93,K$1),"")</f>
        <v/>
      </c>
      <c r="M93" t="str">
        <f>IF(Draft_Import!$D93=M$1,COUNTIF(Draft_Import!$D$2:'Draft_Import'!$D93,M$1),"")</f>
        <v/>
      </c>
      <c r="O93" t="str">
        <f>IF(Draft_Import!$D93=O$1,COUNTIF(Draft_Import!$D$2:'Draft_Import'!$D93,O$1),"")</f>
        <v/>
      </c>
      <c r="Q93" t="str">
        <f>IF(Draft_Import!$D93=Q$1,COUNTIF(Draft_Import!$D$2:'Draft_Import'!$D93,Q$1),"")</f>
        <v/>
      </c>
      <c r="S93" t="str">
        <f>IF(Draft_Import!$D93=S$1,COUNTIF(Draft_Import!$D$2:'Draft_Import'!$D93,S$1),"")</f>
        <v/>
      </c>
    </row>
    <row r="94" spans="1:19" x14ac:dyDescent="0.25">
      <c r="A94" t="str">
        <f>IF(Draft_Import!$D94=A$1,COUNTIF(Draft_Import!$D$2:'Draft_Import'!$D94,A$1),"")</f>
        <v/>
      </c>
      <c r="C94" t="str">
        <f>IF(Draft_Import!$D94=C$1,COUNTIF(Draft_Import!$D$2:'Draft_Import'!$D94,C$1),"")</f>
        <v/>
      </c>
      <c r="E94" t="str">
        <f>IF(Draft_Import!$D94=E$1,COUNTIF(Draft_Import!$D$2:'Draft_Import'!$D94,E$1),"")</f>
        <v/>
      </c>
      <c r="G94" t="str">
        <f>IF(Draft_Import!$D94=G$1,COUNTIF(Draft_Import!$D$2:'Draft_Import'!$D94,G$1),"")</f>
        <v/>
      </c>
      <c r="I94" t="str">
        <f>IF(Draft_Import!$D94=I$1,COUNTIF(Draft_Import!$D$2:'Draft_Import'!$D94,I$1),"")</f>
        <v/>
      </c>
      <c r="K94" t="str">
        <f>IF(Draft_Import!$D94=K$1,COUNTIF(Draft_Import!$D$2:'Draft_Import'!$D94,K$1),"")</f>
        <v/>
      </c>
      <c r="M94" t="str">
        <f>IF(Draft_Import!$D94=M$1,COUNTIF(Draft_Import!$D$2:'Draft_Import'!$D94,M$1),"")</f>
        <v/>
      </c>
      <c r="O94" t="str">
        <f>IF(Draft_Import!$D94=O$1,COUNTIF(Draft_Import!$D$2:'Draft_Import'!$D94,O$1),"")</f>
        <v/>
      </c>
      <c r="Q94" t="str">
        <f>IF(Draft_Import!$D94=Q$1,COUNTIF(Draft_Import!$D$2:'Draft_Import'!$D94,Q$1),"")</f>
        <v/>
      </c>
      <c r="S94" t="str">
        <f>IF(Draft_Import!$D94=S$1,COUNTIF(Draft_Import!$D$2:'Draft_Import'!$D94,S$1),"")</f>
        <v/>
      </c>
    </row>
    <row r="95" spans="1:19" x14ac:dyDescent="0.25">
      <c r="A95" t="str">
        <f>IF(Draft_Import!$D95=A$1,COUNTIF(Draft_Import!$D$2:'Draft_Import'!$D95,A$1),"")</f>
        <v/>
      </c>
      <c r="C95" t="str">
        <f>IF(Draft_Import!$D95=C$1,COUNTIF(Draft_Import!$D$2:'Draft_Import'!$D95,C$1),"")</f>
        <v/>
      </c>
      <c r="E95" t="str">
        <f>IF(Draft_Import!$D95=E$1,COUNTIF(Draft_Import!$D$2:'Draft_Import'!$D95,E$1),"")</f>
        <v/>
      </c>
      <c r="G95" t="str">
        <f>IF(Draft_Import!$D95=G$1,COUNTIF(Draft_Import!$D$2:'Draft_Import'!$D95,G$1),"")</f>
        <v/>
      </c>
      <c r="I95" t="str">
        <f>IF(Draft_Import!$D95=I$1,COUNTIF(Draft_Import!$D$2:'Draft_Import'!$D95,I$1),"")</f>
        <v/>
      </c>
      <c r="K95" t="str">
        <f>IF(Draft_Import!$D95=K$1,COUNTIF(Draft_Import!$D$2:'Draft_Import'!$D95,K$1),"")</f>
        <v/>
      </c>
      <c r="M95" t="str">
        <f>IF(Draft_Import!$D95=M$1,COUNTIF(Draft_Import!$D$2:'Draft_Import'!$D95,M$1),"")</f>
        <v/>
      </c>
      <c r="O95" t="str">
        <f>IF(Draft_Import!$D95=O$1,COUNTIF(Draft_Import!$D$2:'Draft_Import'!$D95,O$1),"")</f>
        <v/>
      </c>
      <c r="Q95" t="str">
        <f>IF(Draft_Import!$D95=Q$1,COUNTIF(Draft_Import!$D$2:'Draft_Import'!$D95,Q$1),"")</f>
        <v/>
      </c>
      <c r="S95" t="str">
        <f>IF(Draft_Import!$D95=S$1,COUNTIF(Draft_Import!$D$2:'Draft_Import'!$D95,S$1),"")</f>
        <v/>
      </c>
    </row>
    <row r="96" spans="1:19" x14ac:dyDescent="0.25">
      <c r="A96" t="str">
        <f>IF(Draft_Import!$D96=A$1,COUNTIF(Draft_Import!$D$2:'Draft_Import'!$D96,A$1),"")</f>
        <v/>
      </c>
      <c r="C96" t="str">
        <f>IF(Draft_Import!$D96=C$1,COUNTIF(Draft_Import!$D$2:'Draft_Import'!$D96,C$1),"")</f>
        <v/>
      </c>
      <c r="E96" t="str">
        <f>IF(Draft_Import!$D96=E$1,COUNTIF(Draft_Import!$D$2:'Draft_Import'!$D96,E$1),"")</f>
        <v/>
      </c>
      <c r="G96" t="str">
        <f>IF(Draft_Import!$D96=G$1,COUNTIF(Draft_Import!$D$2:'Draft_Import'!$D96,G$1),"")</f>
        <v/>
      </c>
      <c r="I96" t="str">
        <f>IF(Draft_Import!$D96=I$1,COUNTIF(Draft_Import!$D$2:'Draft_Import'!$D96,I$1),"")</f>
        <v/>
      </c>
      <c r="K96" t="str">
        <f>IF(Draft_Import!$D96=K$1,COUNTIF(Draft_Import!$D$2:'Draft_Import'!$D96,K$1),"")</f>
        <v/>
      </c>
      <c r="M96" t="str">
        <f>IF(Draft_Import!$D96=M$1,COUNTIF(Draft_Import!$D$2:'Draft_Import'!$D96,M$1),"")</f>
        <v/>
      </c>
      <c r="O96" t="str">
        <f>IF(Draft_Import!$D96=O$1,COUNTIF(Draft_Import!$D$2:'Draft_Import'!$D96,O$1),"")</f>
        <v/>
      </c>
      <c r="Q96" t="str">
        <f>IF(Draft_Import!$D96=Q$1,COUNTIF(Draft_Import!$D$2:'Draft_Import'!$D96,Q$1),"")</f>
        <v/>
      </c>
      <c r="S96" t="str">
        <f>IF(Draft_Import!$D96=S$1,COUNTIF(Draft_Import!$D$2:'Draft_Import'!$D96,S$1),"")</f>
        <v/>
      </c>
    </row>
    <row r="97" spans="1:19" x14ac:dyDescent="0.25">
      <c r="A97" t="str">
        <f>IF(Draft_Import!$D97=A$1,COUNTIF(Draft_Import!$D$2:'Draft_Import'!$D97,A$1),"")</f>
        <v/>
      </c>
      <c r="C97" t="str">
        <f>IF(Draft_Import!$D97=C$1,COUNTIF(Draft_Import!$D$2:'Draft_Import'!$D97,C$1),"")</f>
        <v/>
      </c>
      <c r="E97" t="str">
        <f>IF(Draft_Import!$D97=E$1,COUNTIF(Draft_Import!$D$2:'Draft_Import'!$D97,E$1),"")</f>
        <v/>
      </c>
      <c r="G97" t="str">
        <f>IF(Draft_Import!$D97=G$1,COUNTIF(Draft_Import!$D$2:'Draft_Import'!$D97,G$1),"")</f>
        <v/>
      </c>
      <c r="I97" t="str">
        <f>IF(Draft_Import!$D97=I$1,COUNTIF(Draft_Import!$D$2:'Draft_Import'!$D97,I$1),"")</f>
        <v/>
      </c>
      <c r="K97" t="str">
        <f>IF(Draft_Import!$D97=K$1,COUNTIF(Draft_Import!$D$2:'Draft_Import'!$D97,K$1),"")</f>
        <v/>
      </c>
      <c r="M97" t="str">
        <f>IF(Draft_Import!$D97=M$1,COUNTIF(Draft_Import!$D$2:'Draft_Import'!$D97,M$1),"")</f>
        <v/>
      </c>
      <c r="O97" t="str">
        <f>IF(Draft_Import!$D97=O$1,COUNTIF(Draft_Import!$D$2:'Draft_Import'!$D97,O$1),"")</f>
        <v/>
      </c>
      <c r="Q97" t="str">
        <f>IF(Draft_Import!$D97=Q$1,COUNTIF(Draft_Import!$D$2:'Draft_Import'!$D97,Q$1),"")</f>
        <v/>
      </c>
      <c r="S97" t="str">
        <f>IF(Draft_Import!$D97=S$1,COUNTIF(Draft_Import!$D$2:'Draft_Import'!$D97,S$1),"")</f>
        <v/>
      </c>
    </row>
    <row r="98" spans="1:19" x14ac:dyDescent="0.25">
      <c r="A98" t="str">
        <f>IF(Draft_Import!$D98=A$1,COUNTIF(Draft_Import!$D$2:'Draft_Import'!$D98,A$1),"")</f>
        <v/>
      </c>
      <c r="C98" t="str">
        <f>IF(Draft_Import!$D98=C$1,COUNTIF(Draft_Import!$D$2:'Draft_Import'!$D98,C$1),"")</f>
        <v/>
      </c>
      <c r="E98" t="str">
        <f>IF(Draft_Import!$D98=E$1,COUNTIF(Draft_Import!$D$2:'Draft_Import'!$D98,E$1),"")</f>
        <v/>
      </c>
      <c r="G98" t="str">
        <f>IF(Draft_Import!$D98=G$1,COUNTIF(Draft_Import!$D$2:'Draft_Import'!$D98,G$1),"")</f>
        <v/>
      </c>
      <c r="I98" t="str">
        <f>IF(Draft_Import!$D98=I$1,COUNTIF(Draft_Import!$D$2:'Draft_Import'!$D98,I$1),"")</f>
        <v/>
      </c>
      <c r="K98" t="str">
        <f>IF(Draft_Import!$D98=K$1,COUNTIF(Draft_Import!$D$2:'Draft_Import'!$D98,K$1),"")</f>
        <v/>
      </c>
      <c r="M98" t="str">
        <f>IF(Draft_Import!$D98=M$1,COUNTIF(Draft_Import!$D$2:'Draft_Import'!$D98,M$1),"")</f>
        <v/>
      </c>
      <c r="O98" t="str">
        <f>IF(Draft_Import!$D98=O$1,COUNTIF(Draft_Import!$D$2:'Draft_Import'!$D98,O$1),"")</f>
        <v/>
      </c>
      <c r="Q98" t="str">
        <f>IF(Draft_Import!$D98=Q$1,COUNTIF(Draft_Import!$D$2:'Draft_Import'!$D98,Q$1),"")</f>
        <v/>
      </c>
      <c r="S98" t="str">
        <f>IF(Draft_Import!$D98=S$1,COUNTIF(Draft_Import!$D$2:'Draft_Import'!$D98,S$1),"")</f>
        <v/>
      </c>
    </row>
    <row r="99" spans="1:19" x14ac:dyDescent="0.25">
      <c r="A99" t="str">
        <f>IF(Draft_Import!$D99=A$1,COUNTIF(Draft_Import!$D$2:'Draft_Import'!$D99,A$1),"")</f>
        <v/>
      </c>
      <c r="C99" t="str">
        <f>IF(Draft_Import!$D99=C$1,COUNTIF(Draft_Import!$D$2:'Draft_Import'!$D99,C$1),"")</f>
        <v/>
      </c>
      <c r="E99" t="str">
        <f>IF(Draft_Import!$D99=E$1,COUNTIF(Draft_Import!$D$2:'Draft_Import'!$D99,E$1),"")</f>
        <v/>
      </c>
      <c r="G99" t="str">
        <f>IF(Draft_Import!$D99=G$1,COUNTIF(Draft_Import!$D$2:'Draft_Import'!$D99,G$1),"")</f>
        <v/>
      </c>
      <c r="I99" t="str">
        <f>IF(Draft_Import!$D99=I$1,COUNTIF(Draft_Import!$D$2:'Draft_Import'!$D99,I$1),"")</f>
        <v/>
      </c>
      <c r="K99" t="str">
        <f>IF(Draft_Import!$D99=K$1,COUNTIF(Draft_Import!$D$2:'Draft_Import'!$D99,K$1),"")</f>
        <v/>
      </c>
      <c r="M99" t="str">
        <f>IF(Draft_Import!$D99=M$1,COUNTIF(Draft_Import!$D$2:'Draft_Import'!$D99,M$1),"")</f>
        <v/>
      </c>
      <c r="O99" t="str">
        <f>IF(Draft_Import!$D99=O$1,COUNTIF(Draft_Import!$D$2:'Draft_Import'!$D99,O$1),"")</f>
        <v/>
      </c>
      <c r="Q99" t="str">
        <f>IF(Draft_Import!$D99=Q$1,COUNTIF(Draft_Import!$D$2:'Draft_Import'!$D99,Q$1),"")</f>
        <v/>
      </c>
      <c r="S99" t="str">
        <f>IF(Draft_Import!$D99=S$1,COUNTIF(Draft_Import!$D$2:'Draft_Import'!$D99,S$1),"")</f>
        <v/>
      </c>
    </row>
    <row r="100" spans="1:19" x14ac:dyDescent="0.25">
      <c r="A100" t="str">
        <f>IF(Draft_Import!$D100=A$1,COUNTIF(Draft_Import!$D$2:'Draft_Import'!$D100,A$1),"")</f>
        <v/>
      </c>
      <c r="C100" t="str">
        <f>IF(Draft_Import!$D100=C$1,COUNTIF(Draft_Import!$D$2:'Draft_Import'!$D100,C$1),"")</f>
        <v/>
      </c>
      <c r="E100" t="str">
        <f>IF(Draft_Import!$D100=E$1,COUNTIF(Draft_Import!$D$2:'Draft_Import'!$D100,E$1),"")</f>
        <v/>
      </c>
      <c r="G100" t="str">
        <f>IF(Draft_Import!$D100=G$1,COUNTIF(Draft_Import!$D$2:'Draft_Import'!$D100,G$1),"")</f>
        <v/>
      </c>
      <c r="I100" t="str">
        <f>IF(Draft_Import!$D100=I$1,COUNTIF(Draft_Import!$D$2:'Draft_Import'!$D100,I$1),"")</f>
        <v/>
      </c>
      <c r="K100" t="str">
        <f>IF(Draft_Import!$D100=K$1,COUNTIF(Draft_Import!$D$2:'Draft_Import'!$D100,K$1),"")</f>
        <v/>
      </c>
      <c r="M100" t="str">
        <f>IF(Draft_Import!$D100=M$1,COUNTIF(Draft_Import!$D$2:'Draft_Import'!$D100,M$1),"")</f>
        <v/>
      </c>
      <c r="O100" t="str">
        <f>IF(Draft_Import!$D100=O$1,COUNTIF(Draft_Import!$D$2:'Draft_Import'!$D100,O$1),"")</f>
        <v/>
      </c>
      <c r="Q100" t="str">
        <f>IF(Draft_Import!$D100=Q$1,COUNTIF(Draft_Import!$D$2:'Draft_Import'!$D100,Q$1),"")</f>
        <v/>
      </c>
      <c r="S100" t="str">
        <f>IF(Draft_Import!$D100=S$1,COUNTIF(Draft_Import!$D$2:'Draft_Import'!$D100,S$1),"")</f>
        <v/>
      </c>
    </row>
    <row r="101" spans="1:19" x14ac:dyDescent="0.25">
      <c r="A101" t="str">
        <f>IF(Draft_Import!$D101=A$1,COUNTIF(Draft_Import!$D$2:'Draft_Import'!$D101,A$1),"")</f>
        <v/>
      </c>
      <c r="C101" t="str">
        <f>IF(Draft_Import!$D101=C$1,COUNTIF(Draft_Import!$D$2:'Draft_Import'!$D101,C$1),"")</f>
        <v/>
      </c>
      <c r="E101" t="str">
        <f>IF(Draft_Import!$D101=E$1,COUNTIF(Draft_Import!$D$2:'Draft_Import'!$D101,E$1),"")</f>
        <v/>
      </c>
      <c r="G101" t="str">
        <f>IF(Draft_Import!$D101=G$1,COUNTIF(Draft_Import!$D$2:'Draft_Import'!$D101,G$1),"")</f>
        <v/>
      </c>
      <c r="I101" t="str">
        <f>IF(Draft_Import!$D101=I$1,COUNTIF(Draft_Import!$D$2:'Draft_Import'!$D101,I$1),"")</f>
        <v/>
      </c>
      <c r="K101" t="str">
        <f>IF(Draft_Import!$D101=K$1,COUNTIF(Draft_Import!$D$2:'Draft_Import'!$D101,K$1),"")</f>
        <v/>
      </c>
      <c r="M101" t="str">
        <f>IF(Draft_Import!$D101=M$1,COUNTIF(Draft_Import!$D$2:'Draft_Import'!$D101,M$1),"")</f>
        <v/>
      </c>
      <c r="O101" t="str">
        <f>IF(Draft_Import!$D101=O$1,COUNTIF(Draft_Import!$D$2:'Draft_Import'!$D101,O$1),"")</f>
        <v/>
      </c>
      <c r="Q101" t="str">
        <f>IF(Draft_Import!$D101=Q$1,COUNTIF(Draft_Import!$D$2:'Draft_Import'!$D101,Q$1),"")</f>
        <v/>
      </c>
      <c r="S101" t="str">
        <f>IF(Draft_Import!$D101=S$1,COUNTIF(Draft_Import!$D$2:'Draft_Import'!$D101,S$1),"")</f>
        <v/>
      </c>
    </row>
    <row r="102" spans="1:19" x14ac:dyDescent="0.25">
      <c r="A102" t="str">
        <f>IF(Draft_Import!$D102=A$1,COUNTIF(Draft_Import!$D$2:'Draft_Import'!$D102,A$1),"")</f>
        <v/>
      </c>
      <c r="C102" t="str">
        <f>IF(Draft_Import!$D102=C$1,COUNTIF(Draft_Import!$D$2:'Draft_Import'!$D102,C$1),"")</f>
        <v/>
      </c>
      <c r="E102" t="str">
        <f>IF(Draft_Import!$D102=E$1,COUNTIF(Draft_Import!$D$2:'Draft_Import'!$D102,E$1),"")</f>
        <v/>
      </c>
      <c r="G102" t="str">
        <f>IF(Draft_Import!$D102=G$1,COUNTIF(Draft_Import!$D$2:'Draft_Import'!$D102,G$1),"")</f>
        <v/>
      </c>
      <c r="I102" t="str">
        <f>IF(Draft_Import!$D102=I$1,COUNTIF(Draft_Import!$D$2:'Draft_Import'!$D102,I$1),"")</f>
        <v/>
      </c>
      <c r="K102" t="str">
        <f>IF(Draft_Import!$D102=K$1,COUNTIF(Draft_Import!$D$2:'Draft_Import'!$D102,K$1),"")</f>
        <v/>
      </c>
      <c r="M102" t="str">
        <f>IF(Draft_Import!$D102=M$1,COUNTIF(Draft_Import!$D$2:'Draft_Import'!$D102,M$1),"")</f>
        <v/>
      </c>
      <c r="O102" t="str">
        <f>IF(Draft_Import!$D102=O$1,COUNTIF(Draft_Import!$D$2:'Draft_Import'!$D102,O$1),"")</f>
        <v/>
      </c>
      <c r="Q102" t="str">
        <f>IF(Draft_Import!$D102=Q$1,COUNTIF(Draft_Import!$D$2:'Draft_Import'!$D102,Q$1),"")</f>
        <v/>
      </c>
      <c r="S102" t="str">
        <f>IF(Draft_Import!$D102=S$1,COUNTIF(Draft_Import!$D$2:'Draft_Import'!$D102,S$1),"")</f>
        <v/>
      </c>
    </row>
    <row r="103" spans="1:19" x14ac:dyDescent="0.25">
      <c r="A103" t="str">
        <f>IF(Draft_Import!$D103=A$1,COUNTIF(Draft_Import!$D$2:'Draft_Import'!$D103,A$1),"")</f>
        <v/>
      </c>
      <c r="C103" t="str">
        <f>IF(Draft_Import!$D103=C$1,COUNTIF(Draft_Import!$D$2:'Draft_Import'!$D103,C$1),"")</f>
        <v/>
      </c>
      <c r="E103" t="str">
        <f>IF(Draft_Import!$D103=E$1,COUNTIF(Draft_Import!$D$2:'Draft_Import'!$D103,E$1),"")</f>
        <v/>
      </c>
      <c r="G103" t="str">
        <f>IF(Draft_Import!$D103=G$1,COUNTIF(Draft_Import!$D$2:'Draft_Import'!$D103,G$1),"")</f>
        <v/>
      </c>
      <c r="I103" t="str">
        <f>IF(Draft_Import!$D103=I$1,COUNTIF(Draft_Import!$D$2:'Draft_Import'!$D103,I$1),"")</f>
        <v/>
      </c>
      <c r="K103" t="str">
        <f>IF(Draft_Import!$D103=K$1,COUNTIF(Draft_Import!$D$2:'Draft_Import'!$D103,K$1),"")</f>
        <v/>
      </c>
      <c r="M103" t="str">
        <f>IF(Draft_Import!$D103=M$1,COUNTIF(Draft_Import!$D$2:'Draft_Import'!$D103,M$1),"")</f>
        <v/>
      </c>
      <c r="O103" t="str">
        <f>IF(Draft_Import!$D103=O$1,COUNTIF(Draft_Import!$D$2:'Draft_Import'!$D103,O$1),"")</f>
        <v/>
      </c>
      <c r="Q103" t="str">
        <f>IF(Draft_Import!$D103=Q$1,COUNTIF(Draft_Import!$D$2:'Draft_Import'!$D103,Q$1),"")</f>
        <v/>
      </c>
      <c r="S103" t="str">
        <f>IF(Draft_Import!$D103=S$1,COUNTIF(Draft_Import!$D$2:'Draft_Import'!$D103,S$1),"")</f>
        <v/>
      </c>
    </row>
    <row r="104" spans="1:19" x14ac:dyDescent="0.25">
      <c r="A104" t="str">
        <f>IF(Draft_Import!$D104=A$1,COUNTIF(Draft_Import!$D$2:'Draft_Import'!$D104,A$1),"")</f>
        <v/>
      </c>
      <c r="C104" t="str">
        <f>IF(Draft_Import!$D104=C$1,COUNTIF(Draft_Import!$D$2:'Draft_Import'!$D104,C$1),"")</f>
        <v/>
      </c>
      <c r="E104" t="str">
        <f>IF(Draft_Import!$D104=E$1,COUNTIF(Draft_Import!$D$2:'Draft_Import'!$D104,E$1),"")</f>
        <v/>
      </c>
      <c r="G104" t="str">
        <f>IF(Draft_Import!$D104=G$1,COUNTIF(Draft_Import!$D$2:'Draft_Import'!$D104,G$1),"")</f>
        <v/>
      </c>
      <c r="I104" t="str">
        <f>IF(Draft_Import!$D104=I$1,COUNTIF(Draft_Import!$D$2:'Draft_Import'!$D104,I$1),"")</f>
        <v/>
      </c>
      <c r="K104" t="str">
        <f>IF(Draft_Import!$D104=K$1,COUNTIF(Draft_Import!$D$2:'Draft_Import'!$D104,K$1),"")</f>
        <v/>
      </c>
      <c r="M104" t="str">
        <f>IF(Draft_Import!$D104=M$1,COUNTIF(Draft_Import!$D$2:'Draft_Import'!$D104,M$1),"")</f>
        <v/>
      </c>
      <c r="O104" t="str">
        <f>IF(Draft_Import!$D104=O$1,COUNTIF(Draft_Import!$D$2:'Draft_Import'!$D104,O$1),"")</f>
        <v/>
      </c>
      <c r="Q104" t="str">
        <f>IF(Draft_Import!$D104=Q$1,COUNTIF(Draft_Import!$D$2:'Draft_Import'!$D104,Q$1),"")</f>
        <v/>
      </c>
      <c r="S104" t="str">
        <f>IF(Draft_Import!$D104=S$1,COUNTIF(Draft_Import!$D$2:'Draft_Import'!$D104,S$1),"")</f>
        <v/>
      </c>
    </row>
    <row r="105" spans="1:19" x14ac:dyDescent="0.25">
      <c r="A105" t="str">
        <f>IF(Draft_Import!$D105=A$1,COUNTIF(Draft_Import!$D$2:'Draft_Import'!$D105,A$1),"")</f>
        <v/>
      </c>
      <c r="C105" t="str">
        <f>IF(Draft_Import!$D105=C$1,COUNTIF(Draft_Import!$D$2:'Draft_Import'!$D105,C$1),"")</f>
        <v/>
      </c>
      <c r="E105" t="str">
        <f>IF(Draft_Import!$D105=E$1,COUNTIF(Draft_Import!$D$2:'Draft_Import'!$D105,E$1),"")</f>
        <v/>
      </c>
      <c r="G105" t="str">
        <f>IF(Draft_Import!$D105=G$1,COUNTIF(Draft_Import!$D$2:'Draft_Import'!$D105,G$1),"")</f>
        <v/>
      </c>
      <c r="I105" t="str">
        <f>IF(Draft_Import!$D105=I$1,COUNTIF(Draft_Import!$D$2:'Draft_Import'!$D105,I$1),"")</f>
        <v/>
      </c>
      <c r="K105" t="str">
        <f>IF(Draft_Import!$D105=K$1,COUNTIF(Draft_Import!$D$2:'Draft_Import'!$D105,K$1),"")</f>
        <v/>
      </c>
      <c r="M105" t="str">
        <f>IF(Draft_Import!$D105=M$1,COUNTIF(Draft_Import!$D$2:'Draft_Import'!$D105,M$1),"")</f>
        <v/>
      </c>
      <c r="O105" t="str">
        <f>IF(Draft_Import!$D105=O$1,COUNTIF(Draft_Import!$D$2:'Draft_Import'!$D105,O$1),"")</f>
        <v/>
      </c>
      <c r="Q105" t="str">
        <f>IF(Draft_Import!$D105=Q$1,COUNTIF(Draft_Import!$D$2:'Draft_Import'!$D105,Q$1),"")</f>
        <v/>
      </c>
      <c r="S105" t="str">
        <f>IF(Draft_Import!$D105=S$1,COUNTIF(Draft_Import!$D$2:'Draft_Import'!$D105,S$1),"")</f>
        <v/>
      </c>
    </row>
    <row r="106" spans="1:19" x14ac:dyDescent="0.25">
      <c r="A106" t="str">
        <f>IF(Draft_Import!$D106=A$1,COUNTIF(Draft_Import!$D$2:'Draft_Import'!$D106,A$1),"")</f>
        <v/>
      </c>
      <c r="C106" t="str">
        <f>IF(Draft_Import!$D106=C$1,COUNTIF(Draft_Import!$D$2:'Draft_Import'!$D106,C$1),"")</f>
        <v/>
      </c>
      <c r="E106" t="str">
        <f>IF(Draft_Import!$D106=E$1,COUNTIF(Draft_Import!$D$2:'Draft_Import'!$D106,E$1),"")</f>
        <v/>
      </c>
      <c r="G106" t="str">
        <f>IF(Draft_Import!$D106=G$1,COUNTIF(Draft_Import!$D$2:'Draft_Import'!$D106,G$1),"")</f>
        <v/>
      </c>
      <c r="I106" t="str">
        <f>IF(Draft_Import!$D106=I$1,COUNTIF(Draft_Import!$D$2:'Draft_Import'!$D106,I$1),"")</f>
        <v/>
      </c>
      <c r="K106" t="str">
        <f>IF(Draft_Import!$D106=K$1,COUNTIF(Draft_Import!$D$2:'Draft_Import'!$D106,K$1),"")</f>
        <v/>
      </c>
      <c r="M106" t="str">
        <f>IF(Draft_Import!$D106=M$1,COUNTIF(Draft_Import!$D$2:'Draft_Import'!$D106,M$1),"")</f>
        <v/>
      </c>
      <c r="O106" t="str">
        <f>IF(Draft_Import!$D106=O$1,COUNTIF(Draft_Import!$D$2:'Draft_Import'!$D106,O$1),"")</f>
        <v/>
      </c>
      <c r="Q106" t="str">
        <f>IF(Draft_Import!$D106=Q$1,COUNTIF(Draft_Import!$D$2:'Draft_Import'!$D106,Q$1),"")</f>
        <v/>
      </c>
      <c r="S106" t="str">
        <f>IF(Draft_Import!$D106=S$1,COUNTIF(Draft_Import!$D$2:'Draft_Import'!$D106,S$1),"")</f>
        <v/>
      </c>
    </row>
    <row r="107" spans="1:19" x14ac:dyDescent="0.25">
      <c r="A107" t="str">
        <f>IF(Draft_Import!$D107=A$1,COUNTIF(Draft_Import!$D$2:'Draft_Import'!$D107,A$1),"")</f>
        <v/>
      </c>
      <c r="C107" t="str">
        <f>IF(Draft_Import!$D107=C$1,COUNTIF(Draft_Import!$D$2:'Draft_Import'!$D107,C$1),"")</f>
        <v/>
      </c>
      <c r="E107" t="str">
        <f>IF(Draft_Import!$D107=E$1,COUNTIF(Draft_Import!$D$2:'Draft_Import'!$D107,E$1),"")</f>
        <v/>
      </c>
      <c r="G107" t="str">
        <f>IF(Draft_Import!$D107=G$1,COUNTIF(Draft_Import!$D$2:'Draft_Import'!$D107,G$1),"")</f>
        <v/>
      </c>
      <c r="I107" t="str">
        <f>IF(Draft_Import!$D107=I$1,COUNTIF(Draft_Import!$D$2:'Draft_Import'!$D107,I$1),"")</f>
        <v/>
      </c>
      <c r="K107" t="str">
        <f>IF(Draft_Import!$D107=K$1,COUNTIF(Draft_Import!$D$2:'Draft_Import'!$D107,K$1),"")</f>
        <v/>
      </c>
      <c r="M107" t="str">
        <f>IF(Draft_Import!$D107=M$1,COUNTIF(Draft_Import!$D$2:'Draft_Import'!$D107,M$1),"")</f>
        <v/>
      </c>
      <c r="O107" t="str">
        <f>IF(Draft_Import!$D107=O$1,COUNTIF(Draft_Import!$D$2:'Draft_Import'!$D107,O$1),"")</f>
        <v/>
      </c>
      <c r="Q107" t="str">
        <f>IF(Draft_Import!$D107=Q$1,COUNTIF(Draft_Import!$D$2:'Draft_Import'!$D107,Q$1),"")</f>
        <v/>
      </c>
      <c r="S107" t="str">
        <f>IF(Draft_Import!$D107=S$1,COUNTIF(Draft_Import!$D$2:'Draft_Import'!$D107,S$1),"")</f>
        <v/>
      </c>
    </row>
    <row r="108" spans="1:19" x14ac:dyDescent="0.25">
      <c r="A108" t="str">
        <f>IF(Draft_Import!$D108=A$1,COUNTIF(Draft_Import!$D$2:'Draft_Import'!$D108,A$1),"")</f>
        <v/>
      </c>
      <c r="C108" t="str">
        <f>IF(Draft_Import!$D108=C$1,COUNTIF(Draft_Import!$D$2:'Draft_Import'!$D108,C$1),"")</f>
        <v/>
      </c>
      <c r="E108" t="str">
        <f>IF(Draft_Import!$D108=E$1,COUNTIF(Draft_Import!$D$2:'Draft_Import'!$D108,E$1),"")</f>
        <v/>
      </c>
      <c r="G108" t="str">
        <f>IF(Draft_Import!$D108=G$1,COUNTIF(Draft_Import!$D$2:'Draft_Import'!$D108,G$1),"")</f>
        <v/>
      </c>
      <c r="I108" t="str">
        <f>IF(Draft_Import!$D108=I$1,COUNTIF(Draft_Import!$D$2:'Draft_Import'!$D108,I$1),"")</f>
        <v/>
      </c>
      <c r="K108" t="str">
        <f>IF(Draft_Import!$D108=K$1,COUNTIF(Draft_Import!$D$2:'Draft_Import'!$D108,K$1),"")</f>
        <v/>
      </c>
      <c r="M108" t="str">
        <f>IF(Draft_Import!$D108=M$1,COUNTIF(Draft_Import!$D$2:'Draft_Import'!$D108,M$1),"")</f>
        <v/>
      </c>
      <c r="O108" t="str">
        <f>IF(Draft_Import!$D108=O$1,COUNTIF(Draft_Import!$D$2:'Draft_Import'!$D108,O$1),"")</f>
        <v/>
      </c>
      <c r="Q108" t="str">
        <f>IF(Draft_Import!$D108=Q$1,COUNTIF(Draft_Import!$D$2:'Draft_Import'!$D108,Q$1),"")</f>
        <v/>
      </c>
      <c r="S108" t="str">
        <f>IF(Draft_Import!$D108=S$1,COUNTIF(Draft_Import!$D$2:'Draft_Import'!$D108,S$1),"")</f>
        <v/>
      </c>
    </row>
    <row r="109" spans="1:19" x14ac:dyDescent="0.25">
      <c r="A109" t="str">
        <f>IF(Draft_Import!$D109=A$1,COUNTIF(Draft_Import!$D$2:'Draft_Import'!$D109,A$1),"")</f>
        <v/>
      </c>
      <c r="C109" t="str">
        <f>IF(Draft_Import!$D109=C$1,COUNTIF(Draft_Import!$D$2:'Draft_Import'!$D109,C$1),"")</f>
        <v/>
      </c>
      <c r="E109" t="str">
        <f>IF(Draft_Import!$D109=E$1,COUNTIF(Draft_Import!$D$2:'Draft_Import'!$D109,E$1),"")</f>
        <v/>
      </c>
      <c r="G109" t="str">
        <f>IF(Draft_Import!$D109=G$1,COUNTIF(Draft_Import!$D$2:'Draft_Import'!$D109,G$1),"")</f>
        <v/>
      </c>
      <c r="I109" t="str">
        <f>IF(Draft_Import!$D109=I$1,COUNTIF(Draft_Import!$D$2:'Draft_Import'!$D109,I$1),"")</f>
        <v/>
      </c>
      <c r="K109" t="str">
        <f>IF(Draft_Import!$D109=K$1,COUNTIF(Draft_Import!$D$2:'Draft_Import'!$D109,K$1),"")</f>
        <v/>
      </c>
      <c r="M109" t="str">
        <f>IF(Draft_Import!$D109=M$1,COUNTIF(Draft_Import!$D$2:'Draft_Import'!$D109,M$1),"")</f>
        <v/>
      </c>
      <c r="O109" t="str">
        <f>IF(Draft_Import!$D109=O$1,COUNTIF(Draft_Import!$D$2:'Draft_Import'!$D109,O$1),"")</f>
        <v/>
      </c>
      <c r="Q109" t="str">
        <f>IF(Draft_Import!$D109=Q$1,COUNTIF(Draft_Import!$D$2:'Draft_Import'!$D109,Q$1),"")</f>
        <v/>
      </c>
      <c r="S109" t="str">
        <f>IF(Draft_Import!$D109=S$1,COUNTIF(Draft_Import!$D$2:'Draft_Import'!$D109,S$1),"")</f>
        <v/>
      </c>
    </row>
    <row r="110" spans="1:19" x14ac:dyDescent="0.25">
      <c r="A110" t="str">
        <f>IF(Draft_Import!$D110=A$1,COUNTIF(Draft_Import!$D$2:'Draft_Import'!$D110,A$1),"")</f>
        <v/>
      </c>
      <c r="C110" t="str">
        <f>IF(Draft_Import!$D110=C$1,COUNTIF(Draft_Import!$D$2:'Draft_Import'!$D110,C$1),"")</f>
        <v/>
      </c>
      <c r="E110" t="str">
        <f>IF(Draft_Import!$D110=E$1,COUNTIF(Draft_Import!$D$2:'Draft_Import'!$D110,E$1),"")</f>
        <v/>
      </c>
      <c r="G110" t="str">
        <f>IF(Draft_Import!$D110=G$1,COUNTIF(Draft_Import!$D$2:'Draft_Import'!$D110,G$1),"")</f>
        <v/>
      </c>
      <c r="I110" t="str">
        <f>IF(Draft_Import!$D110=I$1,COUNTIF(Draft_Import!$D$2:'Draft_Import'!$D110,I$1),"")</f>
        <v/>
      </c>
      <c r="K110" t="str">
        <f>IF(Draft_Import!$D110=K$1,COUNTIF(Draft_Import!$D$2:'Draft_Import'!$D110,K$1),"")</f>
        <v/>
      </c>
      <c r="M110" t="str">
        <f>IF(Draft_Import!$D110=M$1,COUNTIF(Draft_Import!$D$2:'Draft_Import'!$D110,M$1),"")</f>
        <v/>
      </c>
      <c r="O110" t="str">
        <f>IF(Draft_Import!$D110=O$1,COUNTIF(Draft_Import!$D$2:'Draft_Import'!$D110,O$1),"")</f>
        <v/>
      </c>
      <c r="Q110" t="str">
        <f>IF(Draft_Import!$D110=Q$1,COUNTIF(Draft_Import!$D$2:'Draft_Import'!$D110,Q$1),"")</f>
        <v/>
      </c>
      <c r="S110" t="str">
        <f>IF(Draft_Import!$D110=S$1,COUNTIF(Draft_Import!$D$2:'Draft_Import'!$D110,S$1),"")</f>
        <v/>
      </c>
    </row>
    <row r="111" spans="1:19" x14ac:dyDescent="0.25">
      <c r="A111" t="str">
        <f>IF(Draft_Import!$D111=A$1,COUNTIF(Draft_Import!$D$2:'Draft_Import'!$D111,A$1),"")</f>
        <v/>
      </c>
      <c r="C111" t="str">
        <f>IF(Draft_Import!$D111=C$1,COUNTIF(Draft_Import!$D$2:'Draft_Import'!$D111,C$1),"")</f>
        <v/>
      </c>
      <c r="E111" t="str">
        <f>IF(Draft_Import!$D111=E$1,COUNTIF(Draft_Import!$D$2:'Draft_Import'!$D111,E$1),"")</f>
        <v/>
      </c>
      <c r="G111" t="str">
        <f>IF(Draft_Import!$D111=G$1,COUNTIF(Draft_Import!$D$2:'Draft_Import'!$D111,G$1),"")</f>
        <v/>
      </c>
      <c r="I111" t="str">
        <f>IF(Draft_Import!$D111=I$1,COUNTIF(Draft_Import!$D$2:'Draft_Import'!$D111,I$1),"")</f>
        <v/>
      </c>
      <c r="K111" t="str">
        <f>IF(Draft_Import!$D111=K$1,COUNTIF(Draft_Import!$D$2:'Draft_Import'!$D111,K$1),"")</f>
        <v/>
      </c>
      <c r="M111" t="str">
        <f>IF(Draft_Import!$D111=M$1,COUNTIF(Draft_Import!$D$2:'Draft_Import'!$D111,M$1),"")</f>
        <v/>
      </c>
      <c r="O111" t="str">
        <f>IF(Draft_Import!$D111=O$1,COUNTIF(Draft_Import!$D$2:'Draft_Import'!$D111,O$1),"")</f>
        <v/>
      </c>
      <c r="Q111" t="str">
        <f>IF(Draft_Import!$D111=Q$1,COUNTIF(Draft_Import!$D$2:'Draft_Import'!$D111,Q$1),"")</f>
        <v/>
      </c>
      <c r="S111" t="str">
        <f>IF(Draft_Import!$D111=S$1,COUNTIF(Draft_Import!$D$2:'Draft_Import'!$D111,S$1),"")</f>
        <v/>
      </c>
    </row>
    <row r="112" spans="1:19" x14ac:dyDescent="0.25">
      <c r="A112" t="str">
        <f>IF(Draft_Import!$D112=A$1,COUNTIF(Draft_Import!$D$2:'Draft_Import'!$D112,A$1),"")</f>
        <v/>
      </c>
      <c r="C112" t="str">
        <f>IF(Draft_Import!$D112=C$1,COUNTIF(Draft_Import!$D$2:'Draft_Import'!$D112,C$1),"")</f>
        <v/>
      </c>
      <c r="E112" t="str">
        <f>IF(Draft_Import!$D112=E$1,COUNTIF(Draft_Import!$D$2:'Draft_Import'!$D112,E$1),"")</f>
        <v/>
      </c>
      <c r="G112" t="str">
        <f>IF(Draft_Import!$D112=G$1,COUNTIF(Draft_Import!$D$2:'Draft_Import'!$D112,G$1),"")</f>
        <v/>
      </c>
      <c r="I112" t="str">
        <f>IF(Draft_Import!$D112=I$1,COUNTIF(Draft_Import!$D$2:'Draft_Import'!$D112,I$1),"")</f>
        <v/>
      </c>
      <c r="K112" t="str">
        <f>IF(Draft_Import!$D112=K$1,COUNTIF(Draft_Import!$D$2:'Draft_Import'!$D112,K$1),"")</f>
        <v/>
      </c>
      <c r="M112" t="str">
        <f>IF(Draft_Import!$D112=M$1,COUNTIF(Draft_Import!$D$2:'Draft_Import'!$D112,M$1),"")</f>
        <v/>
      </c>
      <c r="O112" t="str">
        <f>IF(Draft_Import!$D112=O$1,COUNTIF(Draft_Import!$D$2:'Draft_Import'!$D112,O$1),"")</f>
        <v/>
      </c>
      <c r="Q112" t="str">
        <f>IF(Draft_Import!$D112=Q$1,COUNTIF(Draft_Import!$D$2:'Draft_Import'!$D112,Q$1),"")</f>
        <v/>
      </c>
      <c r="S112" t="str">
        <f>IF(Draft_Import!$D112=S$1,COUNTIF(Draft_Import!$D$2:'Draft_Import'!$D112,S$1),"")</f>
        <v/>
      </c>
    </row>
    <row r="113" spans="1:19" x14ac:dyDescent="0.25">
      <c r="A113" t="str">
        <f>IF(Draft_Import!$D113=A$1,COUNTIF(Draft_Import!$D$2:'Draft_Import'!$D113,A$1),"")</f>
        <v/>
      </c>
      <c r="C113" t="str">
        <f>IF(Draft_Import!$D113=C$1,COUNTIF(Draft_Import!$D$2:'Draft_Import'!$D113,C$1),"")</f>
        <v/>
      </c>
      <c r="E113" t="str">
        <f>IF(Draft_Import!$D113=E$1,COUNTIF(Draft_Import!$D$2:'Draft_Import'!$D113,E$1),"")</f>
        <v/>
      </c>
      <c r="G113" t="str">
        <f>IF(Draft_Import!$D113=G$1,COUNTIF(Draft_Import!$D$2:'Draft_Import'!$D113,G$1),"")</f>
        <v/>
      </c>
      <c r="I113" t="str">
        <f>IF(Draft_Import!$D113=I$1,COUNTIF(Draft_Import!$D$2:'Draft_Import'!$D113,I$1),"")</f>
        <v/>
      </c>
      <c r="K113" t="str">
        <f>IF(Draft_Import!$D113=K$1,COUNTIF(Draft_Import!$D$2:'Draft_Import'!$D113,K$1),"")</f>
        <v/>
      </c>
      <c r="M113" t="str">
        <f>IF(Draft_Import!$D113=M$1,COUNTIF(Draft_Import!$D$2:'Draft_Import'!$D113,M$1),"")</f>
        <v/>
      </c>
      <c r="O113" t="str">
        <f>IF(Draft_Import!$D113=O$1,COUNTIF(Draft_Import!$D$2:'Draft_Import'!$D113,O$1),"")</f>
        <v/>
      </c>
      <c r="Q113" t="str">
        <f>IF(Draft_Import!$D113=Q$1,COUNTIF(Draft_Import!$D$2:'Draft_Import'!$D113,Q$1),"")</f>
        <v/>
      </c>
      <c r="S113" t="str">
        <f>IF(Draft_Import!$D113=S$1,COUNTIF(Draft_Import!$D$2:'Draft_Import'!$D113,S$1),"")</f>
        <v/>
      </c>
    </row>
    <row r="114" spans="1:19" x14ac:dyDescent="0.25">
      <c r="A114" t="str">
        <f>IF(Draft_Import!$D114=A$1,COUNTIF(Draft_Import!$D$2:'Draft_Import'!$D114,A$1),"")</f>
        <v/>
      </c>
      <c r="C114" t="str">
        <f>IF(Draft_Import!$D114=C$1,COUNTIF(Draft_Import!$D$2:'Draft_Import'!$D114,C$1),"")</f>
        <v/>
      </c>
      <c r="E114" t="str">
        <f>IF(Draft_Import!$D114=E$1,COUNTIF(Draft_Import!$D$2:'Draft_Import'!$D114,E$1),"")</f>
        <v/>
      </c>
      <c r="G114" t="str">
        <f>IF(Draft_Import!$D114=G$1,COUNTIF(Draft_Import!$D$2:'Draft_Import'!$D114,G$1),"")</f>
        <v/>
      </c>
      <c r="I114" t="str">
        <f>IF(Draft_Import!$D114=I$1,COUNTIF(Draft_Import!$D$2:'Draft_Import'!$D114,I$1),"")</f>
        <v/>
      </c>
      <c r="K114" t="str">
        <f>IF(Draft_Import!$D114=K$1,COUNTIF(Draft_Import!$D$2:'Draft_Import'!$D114,K$1),"")</f>
        <v/>
      </c>
      <c r="M114" t="str">
        <f>IF(Draft_Import!$D114=M$1,COUNTIF(Draft_Import!$D$2:'Draft_Import'!$D114,M$1),"")</f>
        <v/>
      </c>
      <c r="O114" t="str">
        <f>IF(Draft_Import!$D114=O$1,COUNTIF(Draft_Import!$D$2:'Draft_Import'!$D114,O$1),"")</f>
        <v/>
      </c>
      <c r="Q114" t="str">
        <f>IF(Draft_Import!$D114=Q$1,COUNTIF(Draft_Import!$D$2:'Draft_Import'!$D114,Q$1),"")</f>
        <v/>
      </c>
      <c r="S114" t="str">
        <f>IF(Draft_Import!$D114=S$1,COUNTIF(Draft_Import!$D$2:'Draft_Import'!$D114,S$1),"")</f>
        <v/>
      </c>
    </row>
    <row r="115" spans="1:19" x14ac:dyDescent="0.25">
      <c r="A115" t="str">
        <f>IF(Draft_Import!$D115=A$1,COUNTIF(Draft_Import!$D$2:'Draft_Import'!$D115,A$1),"")</f>
        <v/>
      </c>
      <c r="C115" t="str">
        <f>IF(Draft_Import!$D115=C$1,COUNTIF(Draft_Import!$D$2:'Draft_Import'!$D115,C$1),"")</f>
        <v/>
      </c>
      <c r="E115" t="str">
        <f>IF(Draft_Import!$D115=E$1,COUNTIF(Draft_Import!$D$2:'Draft_Import'!$D115,E$1),"")</f>
        <v/>
      </c>
      <c r="G115" t="str">
        <f>IF(Draft_Import!$D115=G$1,COUNTIF(Draft_Import!$D$2:'Draft_Import'!$D115,G$1),"")</f>
        <v/>
      </c>
      <c r="I115" t="str">
        <f>IF(Draft_Import!$D115=I$1,COUNTIF(Draft_Import!$D$2:'Draft_Import'!$D115,I$1),"")</f>
        <v/>
      </c>
      <c r="K115" t="str">
        <f>IF(Draft_Import!$D115=K$1,COUNTIF(Draft_Import!$D$2:'Draft_Import'!$D115,K$1),"")</f>
        <v/>
      </c>
      <c r="M115" t="str">
        <f>IF(Draft_Import!$D115=M$1,COUNTIF(Draft_Import!$D$2:'Draft_Import'!$D115,M$1),"")</f>
        <v/>
      </c>
      <c r="O115" t="str">
        <f>IF(Draft_Import!$D115=O$1,COUNTIF(Draft_Import!$D$2:'Draft_Import'!$D115,O$1),"")</f>
        <v/>
      </c>
      <c r="Q115" t="str">
        <f>IF(Draft_Import!$D115=Q$1,COUNTIF(Draft_Import!$D$2:'Draft_Import'!$D115,Q$1),"")</f>
        <v/>
      </c>
      <c r="S115" t="str">
        <f>IF(Draft_Import!$D115=S$1,COUNTIF(Draft_Import!$D$2:'Draft_Import'!$D115,S$1),"")</f>
        <v/>
      </c>
    </row>
    <row r="116" spans="1:19" x14ac:dyDescent="0.25">
      <c r="A116" t="str">
        <f>IF(Draft_Import!$D116=A$1,COUNTIF(Draft_Import!$D$2:'Draft_Import'!$D116,A$1),"")</f>
        <v/>
      </c>
      <c r="C116" t="str">
        <f>IF(Draft_Import!$D116=C$1,COUNTIF(Draft_Import!$D$2:'Draft_Import'!$D116,C$1),"")</f>
        <v/>
      </c>
      <c r="E116" t="str">
        <f>IF(Draft_Import!$D116=E$1,COUNTIF(Draft_Import!$D$2:'Draft_Import'!$D116,E$1),"")</f>
        <v/>
      </c>
      <c r="G116" t="str">
        <f>IF(Draft_Import!$D116=G$1,COUNTIF(Draft_Import!$D$2:'Draft_Import'!$D116,G$1),"")</f>
        <v/>
      </c>
      <c r="I116" t="str">
        <f>IF(Draft_Import!$D116=I$1,COUNTIF(Draft_Import!$D$2:'Draft_Import'!$D116,I$1),"")</f>
        <v/>
      </c>
      <c r="K116" t="str">
        <f>IF(Draft_Import!$D116=K$1,COUNTIF(Draft_Import!$D$2:'Draft_Import'!$D116,K$1),"")</f>
        <v/>
      </c>
      <c r="M116" t="str">
        <f>IF(Draft_Import!$D116=M$1,COUNTIF(Draft_Import!$D$2:'Draft_Import'!$D116,M$1),"")</f>
        <v/>
      </c>
      <c r="O116" t="str">
        <f>IF(Draft_Import!$D116=O$1,COUNTIF(Draft_Import!$D$2:'Draft_Import'!$D116,O$1),"")</f>
        <v/>
      </c>
      <c r="Q116" t="str">
        <f>IF(Draft_Import!$D116=Q$1,COUNTIF(Draft_Import!$D$2:'Draft_Import'!$D116,Q$1),"")</f>
        <v/>
      </c>
      <c r="S116" t="str">
        <f>IF(Draft_Import!$D116=S$1,COUNTIF(Draft_Import!$D$2:'Draft_Import'!$D116,S$1),"")</f>
        <v/>
      </c>
    </row>
    <row r="117" spans="1:19" x14ac:dyDescent="0.25">
      <c r="A117" t="str">
        <f>IF(Draft_Import!$D117=A$1,COUNTIF(Draft_Import!$D$2:'Draft_Import'!$D117,A$1),"")</f>
        <v/>
      </c>
      <c r="C117" t="str">
        <f>IF(Draft_Import!$D117=C$1,COUNTIF(Draft_Import!$D$2:'Draft_Import'!$D117,C$1),"")</f>
        <v/>
      </c>
      <c r="E117" t="str">
        <f>IF(Draft_Import!$D117=E$1,COUNTIF(Draft_Import!$D$2:'Draft_Import'!$D117,E$1),"")</f>
        <v/>
      </c>
      <c r="G117" t="str">
        <f>IF(Draft_Import!$D117=G$1,COUNTIF(Draft_Import!$D$2:'Draft_Import'!$D117,G$1),"")</f>
        <v/>
      </c>
      <c r="I117" t="str">
        <f>IF(Draft_Import!$D117=I$1,COUNTIF(Draft_Import!$D$2:'Draft_Import'!$D117,I$1),"")</f>
        <v/>
      </c>
      <c r="K117" t="str">
        <f>IF(Draft_Import!$D117=K$1,COUNTIF(Draft_Import!$D$2:'Draft_Import'!$D117,K$1),"")</f>
        <v/>
      </c>
      <c r="M117" t="str">
        <f>IF(Draft_Import!$D117=M$1,COUNTIF(Draft_Import!$D$2:'Draft_Import'!$D117,M$1),"")</f>
        <v/>
      </c>
      <c r="O117" t="str">
        <f>IF(Draft_Import!$D117=O$1,COUNTIF(Draft_Import!$D$2:'Draft_Import'!$D117,O$1),"")</f>
        <v/>
      </c>
      <c r="Q117" t="str">
        <f>IF(Draft_Import!$D117=Q$1,COUNTIF(Draft_Import!$D$2:'Draft_Import'!$D117,Q$1),"")</f>
        <v/>
      </c>
      <c r="S117" t="str">
        <f>IF(Draft_Import!$D117=S$1,COUNTIF(Draft_Import!$D$2:'Draft_Import'!$D117,S$1),"")</f>
        <v/>
      </c>
    </row>
    <row r="118" spans="1:19" x14ac:dyDescent="0.25">
      <c r="A118" t="str">
        <f>IF(Draft_Import!$D118=A$1,COUNTIF(Draft_Import!$D$2:'Draft_Import'!$D118,A$1),"")</f>
        <v/>
      </c>
      <c r="C118" t="str">
        <f>IF(Draft_Import!$D118=C$1,COUNTIF(Draft_Import!$D$2:'Draft_Import'!$D118,C$1),"")</f>
        <v/>
      </c>
      <c r="E118" t="str">
        <f>IF(Draft_Import!$D118=E$1,COUNTIF(Draft_Import!$D$2:'Draft_Import'!$D118,E$1),"")</f>
        <v/>
      </c>
      <c r="G118" t="str">
        <f>IF(Draft_Import!$D118=G$1,COUNTIF(Draft_Import!$D$2:'Draft_Import'!$D118,G$1),"")</f>
        <v/>
      </c>
      <c r="I118" t="str">
        <f>IF(Draft_Import!$D118=I$1,COUNTIF(Draft_Import!$D$2:'Draft_Import'!$D118,I$1),"")</f>
        <v/>
      </c>
      <c r="K118" t="str">
        <f>IF(Draft_Import!$D118=K$1,COUNTIF(Draft_Import!$D$2:'Draft_Import'!$D118,K$1),"")</f>
        <v/>
      </c>
      <c r="M118" t="str">
        <f>IF(Draft_Import!$D118=M$1,COUNTIF(Draft_Import!$D$2:'Draft_Import'!$D118,M$1),"")</f>
        <v/>
      </c>
      <c r="O118" t="str">
        <f>IF(Draft_Import!$D118=O$1,COUNTIF(Draft_Import!$D$2:'Draft_Import'!$D118,O$1),"")</f>
        <v/>
      </c>
      <c r="Q118" t="str">
        <f>IF(Draft_Import!$D118=Q$1,COUNTIF(Draft_Import!$D$2:'Draft_Import'!$D118,Q$1),"")</f>
        <v/>
      </c>
      <c r="S118" t="str">
        <f>IF(Draft_Import!$D118=S$1,COUNTIF(Draft_Import!$D$2:'Draft_Import'!$D118,S$1),"")</f>
        <v/>
      </c>
    </row>
    <row r="119" spans="1:19" x14ac:dyDescent="0.25">
      <c r="A119" t="str">
        <f>IF(Draft_Import!$D119=A$1,COUNTIF(Draft_Import!$D$2:'Draft_Import'!$D119,A$1),"")</f>
        <v/>
      </c>
      <c r="C119" t="str">
        <f>IF(Draft_Import!$D119=C$1,COUNTIF(Draft_Import!$D$2:'Draft_Import'!$D119,C$1),"")</f>
        <v/>
      </c>
      <c r="E119" t="str">
        <f>IF(Draft_Import!$D119=E$1,COUNTIF(Draft_Import!$D$2:'Draft_Import'!$D119,E$1),"")</f>
        <v/>
      </c>
      <c r="G119" t="str">
        <f>IF(Draft_Import!$D119=G$1,COUNTIF(Draft_Import!$D$2:'Draft_Import'!$D119,G$1),"")</f>
        <v/>
      </c>
      <c r="I119" t="str">
        <f>IF(Draft_Import!$D119=I$1,COUNTIF(Draft_Import!$D$2:'Draft_Import'!$D119,I$1),"")</f>
        <v/>
      </c>
      <c r="K119" t="str">
        <f>IF(Draft_Import!$D119=K$1,COUNTIF(Draft_Import!$D$2:'Draft_Import'!$D119,K$1),"")</f>
        <v/>
      </c>
      <c r="M119" t="str">
        <f>IF(Draft_Import!$D119=M$1,COUNTIF(Draft_Import!$D$2:'Draft_Import'!$D119,M$1),"")</f>
        <v/>
      </c>
      <c r="O119" t="str">
        <f>IF(Draft_Import!$D119=O$1,COUNTIF(Draft_Import!$D$2:'Draft_Import'!$D119,O$1),"")</f>
        <v/>
      </c>
      <c r="Q119" t="str">
        <f>IF(Draft_Import!$D119=Q$1,COUNTIF(Draft_Import!$D$2:'Draft_Import'!$D119,Q$1),"")</f>
        <v/>
      </c>
      <c r="S119" t="str">
        <f>IF(Draft_Import!$D119=S$1,COUNTIF(Draft_Import!$D$2:'Draft_Import'!$D119,S$1),"")</f>
        <v/>
      </c>
    </row>
    <row r="120" spans="1:19" x14ac:dyDescent="0.25">
      <c r="A120" t="str">
        <f>IF(Draft_Import!$D120=A$1,COUNTIF(Draft_Import!$D$2:'Draft_Import'!$D120,A$1),"")</f>
        <v/>
      </c>
      <c r="C120" t="str">
        <f>IF(Draft_Import!$D120=C$1,COUNTIF(Draft_Import!$D$2:'Draft_Import'!$D120,C$1),"")</f>
        <v/>
      </c>
      <c r="E120" t="str">
        <f>IF(Draft_Import!$D120=E$1,COUNTIF(Draft_Import!$D$2:'Draft_Import'!$D120,E$1),"")</f>
        <v/>
      </c>
      <c r="G120" t="str">
        <f>IF(Draft_Import!$D120=G$1,COUNTIF(Draft_Import!$D$2:'Draft_Import'!$D120,G$1),"")</f>
        <v/>
      </c>
      <c r="I120" t="str">
        <f>IF(Draft_Import!$D120=I$1,COUNTIF(Draft_Import!$D$2:'Draft_Import'!$D120,I$1),"")</f>
        <v/>
      </c>
      <c r="K120" t="str">
        <f>IF(Draft_Import!$D120=K$1,COUNTIF(Draft_Import!$D$2:'Draft_Import'!$D120,K$1),"")</f>
        <v/>
      </c>
      <c r="M120" t="str">
        <f>IF(Draft_Import!$D120=M$1,COUNTIF(Draft_Import!$D$2:'Draft_Import'!$D120,M$1),"")</f>
        <v/>
      </c>
      <c r="O120" t="str">
        <f>IF(Draft_Import!$D120=O$1,COUNTIF(Draft_Import!$D$2:'Draft_Import'!$D120,O$1),"")</f>
        <v/>
      </c>
      <c r="Q120" t="str">
        <f>IF(Draft_Import!$D120=Q$1,COUNTIF(Draft_Import!$D$2:'Draft_Import'!$D120,Q$1),"")</f>
        <v/>
      </c>
      <c r="S120" t="str">
        <f>IF(Draft_Import!$D120=S$1,COUNTIF(Draft_Import!$D$2:'Draft_Import'!$D120,S$1),"")</f>
        <v/>
      </c>
    </row>
    <row r="121" spans="1:19" x14ac:dyDescent="0.25">
      <c r="A121" t="str">
        <f>IF(Draft_Import!$D121=A$1,COUNTIF(Draft_Import!$D$2:'Draft_Import'!$D121,A$1),"")</f>
        <v/>
      </c>
      <c r="C121" t="str">
        <f>IF(Draft_Import!$D121=C$1,COUNTIF(Draft_Import!$D$2:'Draft_Import'!$D121,C$1),"")</f>
        <v/>
      </c>
      <c r="E121" t="str">
        <f>IF(Draft_Import!$D121=E$1,COUNTIF(Draft_Import!$D$2:'Draft_Import'!$D121,E$1),"")</f>
        <v/>
      </c>
      <c r="G121" t="str">
        <f>IF(Draft_Import!$D121=G$1,COUNTIF(Draft_Import!$D$2:'Draft_Import'!$D121,G$1),"")</f>
        <v/>
      </c>
      <c r="I121" t="str">
        <f>IF(Draft_Import!$D121=I$1,COUNTIF(Draft_Import!$D$2:'Draft_Import'!$D121,I$1),"")</f>
        <v/>
      </c>
      <c r="K121" t="str">
        <f>IF(Draft_Import!$D121=K$1,COUNTIF(Draft_Import!$D$2:'Draft_Import'!$D121,K$1),"")</f>
        <v/>
      </c>
      <c r="M121" t="str">
        <f>IF(Draft_Import!$D121=M$1,COUNTIF(Draft_Import!$D$2:'Draft_Import'!$D121,M$1),"")</f>
        <v/>
      </c>
      <c r="O121" t="str">
        <f>IF(Draft_Import!$D121=O$1,COUNTIF(Draft_Import!$D$2:'Draft_Import'!$D121,O$1),"")</f>
        <v/>
      </c>
      <c r="Q121" t="str">
        <f>IF(Draft_Import!$D121=Q$1,COUNTIF(Draft_Import!$D$2:'Draft_Import'!$D121,Q$1),"")</f>
        <v/>
      </c>
      <c r="S121" t="str">
        <f>IF(Draft_Import!$D121=S$1,COUNTIF(Draft_Import!$D$2:'Draft_Import'!$D121,S$1),"")</f>
        <v/>
      </c>
    </row>
    <row r="122" spans="1:19" x14ac:dyDescent="0.25">
      <c r="A122" t="str">
        <f>IF(Draft_Import!$D122=A$1,COUNTIF(Draft_Import!$D$2:'Draft_Import'!$D122,A$1),"")</f>
        <v/>
      </c>
      <c r="C122" t="str">
        <f>IF(Draft_Import!$D122=C$1,COUNTIF(Draft_Import!$D$2:'Draft_Import'!$D122,C$1),"")</f>
        <v/>
      </c>
      <c r="E122" t="str">
        <f>IF(Draft_Import!$D122=E$1,COUNTIF(Draft_Import!$D$2:'Draft_Import'!$D122,E$1),"")</f>
        <v/>
      </c>
      <c r="G122" t="str">
        <f>IF(Draft_Import!$D122=G$1,COUNTIF(Draft_Import!$D$2:'Draft_Import'!$D122,G$1),"")</f>
        <v/>
      </c>
      <c r="I122" t="str">
        <f>IF(Draft_Import!$D122=I$1,COUNTIF(Draft_Import!$D$2:'Draft_Import'!$D122,I$1),"")</f>
        <v/>
      </c>
      <c r="K122" t="str">
        <f>IF(Draft_Import!$D122=K$1,COUNTIF(Draft_Import!$D$2:'Draft_Import'!$D122,K$1),"")</f>
        <v/>
      </c>
      <c r="M122" t="str">
        <f>IF(Draft_Import!$D122=M$1,COUNTIF(Draft_Import!$D$2:'Draft_Import'!$D122,M$1),"")</f>
        <v/>
      </c>
      <c r="O122" t="str">
        <f>IF(Draft_Import!$D122=O$1,COUNTIF(Draft_Import!$D$2:'Draft_Import'!$D122,O$1),"")</f>
        <v/>
      </c>
      <c r="Q122" t="str">
        <f>IF(Draft_Import!$D122=Q$1,COUNTIF(Draft_Import!$D$2:'Draft_Import'!$D122,Q$1),"")</f>
        <v/>
      </c>
      <c r="S122" t="str">
        <f>IF(Draft_Import!$D122=S$1,COUNTIF(Draft_Import!$D$2:'Draft_Import'!$D122,S$1),"")</f>
        <v/>
      </c>
    </row>
    <row r="123" spans="1:19" x14ac:dyDescent="0.25">
      <c r="A123" t="str">
        <f>IF(Draft_Import!$D123=A$1,COUNTIF(Draft_Import!$D$2:'Draft_Import'!$D123,A$1),"")</f>
        <v/>
      </c>
      <c r="C123" t="str">
        <f>IF(Draft_Import!$D123=C$1,COUNTIF(Draft_Import!$D$2:'Draft_Import'!$D123,C$1),"")</f>
        <v/>
      </c>
      <c r="E123" t="str">
        <f>IF(Draft_Import!$D123=E$1,COUNTIF(Draft_Import!$D$2:'Draft_Import'!$D123,E$1),"")</f>
        <v/>
      </c>
      <c r="G123" t="str">
        <f>IF(Draft_Import!$D123=G$1,COUNTIF(Draft_Import!$D$2:'Draft_Import'!$D123,G$1),"")</f>
        <v/>
      </c>
      <c r="I123" t="str">
        <f>IF(Draft_Import!$D123=I$1,COUNTIF(Draft_Import!$D$2:'Draft_Import'!$D123,I$1),"")</f>
        <v/>
      </c>
      <c r="K123" t="str">
        <f>IF(Draft_Import!$D123=K$1,COUNTIF(Draft_Import!$D$2:'Draft_Import'!$D123,K$1),"")</f>
        <v/>
      </c>
      <c r="M123" t="str">
        <f>IF(Draft_Import!$D123=M$1,COUNTIF(Draft_Import!$D$2:'Draft_Import'!$D123,M$1),"")</f>
        <v/>
      </c>
      <c r="O123" t="str">
        <f>IF(Draft_Import!$D123=O$1,COUNTIF(Draft_Import!$D$2:'Draft_Import'!$D123,O$1),"")</f>
        <v/>
      </c>
      <c r="Q123" t="str">
        <f>IF(Draft_Import!$D123=Q$1,COUNTIF(Draft_Import!$D$2:'Draft_Import'!$D123,Q$1),"")</f>
        <v/>
      </c>
      <c r="S123" t="str">
        <f>IF(Draft_Import!$D123=S$1,COUNTIF(Draft_Import!$D$2:'Draft_Import'!$D123,S$1),"")</f>
        <v/>
      </c>
    </row>
    <row r="124" spans="1:19" x14ac:dyDescent="0.25">
      <c r="A124" t="str">
        <f>IF(Draft_Import!$D124=A$1,COUNTIF(Draft_Import!$D$2:'Draft_Import'!$D124,A$1),"")</f>
        <v/>
      </c>
      <c r="C124" t="str">
        <f>IF(Draft_Import!$D124=C$1,COUNTIF(Draft_Import!$D$2:'Draft_Import'!$D124,C$1),"")</f>
        <v/>
      </c>
      <c r="E124" t="str">
        <f>IF(Draft_Import!$D124=E$1,COUNTIF(Draft_Import!$D$2:'Draft_Import'!$D124,E$1),"")</f>
        <v/>
      </c>
      <c r="G124" t="str">
        <f>IF(Draft_Import!$D124=G$1,COUNTIF(Draft_Import!$D$2:'Draft_Import'!$D124,G$1),"")</f>
        <v/>
      </c>
      <c r="I124" t="str">
        <f>IF(Draft_Import!$D124=I$1,COUNTIF(Draft_Import!$D$2:'Draft_Import'!$D124,I$1),"")</f>
        <v/>
      </c>
      <c r="K124" t="str">
        <f>IF(Draft_Import!$D124=K$1,COUNTIF(Draft_Import!$D$2:'Draft_Import'!$D124,K$1),"")</f>
        <v/>
      </c>
      <c r="M124" t="str">
        <f>IF(Draft_Import!$D124=M$1,COUNTIF(Draft_Import!$D$2:'Draft_Import'!$D124,M$1),"")</f>
        <v/>
      </c>
      <c r="O124" t="str">
        <f>IF(Draft_Import!$D124=O$1,COUNTIF(Draft_Import!$D$2:'Draft_Import'!$D124,O$1),"")</f>
        <v/>
      </c>
      <c r="Q124" t="str">
        <f>IF(Draft_Import!$D124=Q$1,COUNTIF(Draft_Import!$D$2:'Draft_Import'!$D124,Q$1),"")</f>
        <v/>
      </c>
      <c r="S124" t="str">
        <f>IF(Draft_Import!$D124=S$1,COUNTIF(Draft_Import!$D$2:'Draft_Import'!$D124,S$1),"")</f>
        <v/>
      </c>
    </row>
    <row r="125" spans="1:19" x14ac:dyDescent="0.25">
      <c r="A125" t="str">
        <f>IF(Draft_Import!$D125=A$1,COUNTIF(Draft_Import!$D$2:'Draft_Import'!$D125,A$1),"")</f>
        <v/>
      </c>
      <c r="C125" t="str">
        <f>IF(Draft_Import!$D125=C$1,COUNTIF(Draft_Import!$D$2:'Draft_Import'!$D125,C$1),"")</f>
        <v/>
      </c>
      <c r="E125" t="str">
        <f>IF(Draft_Import!$D125=E$1,COUNTIF(Draft_Import!$D$2:'Draft_Import'!$D125,E$1),"")</f>
        <v/>
      </c>
      <c r="G125" t="str">
        <f>IF(Draft_Import!$D125=G$1,COUNTIF(Draft_Import!$D$2:'Draft_Import'!$D125,G$1),"")</f>
        <v/>
      </c>
      <c r="I125" t="str">
        <f>IF(Draft_Import!$D125=I$1,COUNTIF(Draft_Import!$D$2:'Draft_Import'!$D125,I$1),"")</f>
        <v/>
      </c>
      <c r="K125" t="str">
        <f>IF(Draft_Import!$D125=K$1,COUNTIF(Draft_Import!$D$2:'Draft_Import'!$D125,K$1),"")</f>
        <v/>
      </c>
      <c r="M125" t="str">
        <f>IF(Draft_Import!$D125=M$1,COUNTIF(Draft_Import!$D$2:'Draft_Import'!$D125,M$1),"")</f>
        <v/>
      </c>
      <c r="O125" t="str">
        <f>IF(Draft_Import!$D125=O$1,COUNTIF(Draft_Import!$D$2:'Draft_Import'!$D125,O$1),"")</f>
        <v/>
      </c>
      <c r="Q125" t="str">
        <f>IF(Draft_Import!$D125=Q$1,COUNTIF(Draft_Import!$D$2:'Draft_Import'!$D125,Q$1),"")</f>
        <v/>
      </c>
      <c r="S125" t="str">
        <f>IF(Draft_Import!$D125=S$1,COUNTIF(Draft_Import!$D$2:'Draft_Import'!$D125,S$1),"")</f>
        <v/>
      </c>
    </row>
    <row r="126" spans="1:19" x14ac:dyDescent="0.25">
      <c r="A126" t="str">
        <f>IF(Draft_Import!$D126=A$1,COUNTIF(Draft_Import!$D$2:'Draft_Import'!$D126,A$1),"")</f>
        <v/>
      </c>
      <c r="C126" t="str">
        <f>IF(Draft_Import!$D126=C$1,COUNTIF(Draft_Import!$D$2:'Draft_Import'!$D126,C$1),"")</f>
        <v/>
      </c>
      <c r="E126" t="str">
        <f>IF(Draft_Import!$D126=E$1,COUNTIF(Draft_Import!$D$2:'Draft_Import'!$D126,E$1),"")</f>
        <v/>
      </c>
      <c r="G126" t="str">
        <f>IF(Draft_Import!$D126=G$1,COUNTIF(Draft_Import!$D$2:'Draft_Import'!$D126,G$1),"")</f>
        <v/>
      </c>
      <c r="I126" t="str">
        <f>IF(Draft_Import!$D126=I$1,COUNTIF(Draft_Import!$D$2:'Draft_Import'!$D126,I$1),"")</f>
        <v/>
      </c>
      <c r="K126" t="str">
        <f>IF(Draft_Import!$D126=K$1,COUNTIF(Draft_Import!$D$2:'Draft_Import'!$D126,K$1),"")</f>
        <v/>
      </c>
      <c r="M126" t="str">
        <f>IF(Draft_Import!$D126=M$1,COUNTIF(Draft_Import!$D$2:'Draft_Import'!$D126,M$1),"")</f>
        <v/>
      </c>
      <c r="O126" t="str">
        <f>IF(Draft_Import!$D126=O$1,COUNTIF(Draft_Import!$D$2:'Draft_Import'!$D126,O$1),"")</f>
        <v/>
      </c>
      <c r="Q126" t="str">
        <f>IF(Draft_Import!$D126=Q$1,COUNTIF(Draft_Import!$D$2:'Draft_Import'!$D126,Q$1),"")</f>
        <v/>
      </c>
      <c r="S126" t="str">
        <f>IF(Draft_Import!$D126=S$1,COUNTIF(Draft_Import!$D$2:'Draft_Import'!$D126,S$1),"")</f>
        <v/>
      </c>
    </row>
    <row r="127" spans="1:19" x14ac:dyDescent="0.25">
      <c r="A127" t="str">
        <f>IF(Draft_Import!$D127=A$1,COUNTIF(Draft_Import!$D$2:'Draft_Import'!$D127,A$1),"")</f>
        <v/>
      </c>
      <c r="C127" t="str">
        <f>IF(Draft_Import!$D127=C$1,COUNTIF(Draft_Import!$D$2:'Draft_Import'!$D127,C$1),"")</f>
        <v/>
      </c>
      <c r="E127" t="str">
        <f>IF(Draft_Import!$D127=E$1,COUNTIF(Draft_Import!$D$2:'Draft_Import'!$D127,E$1),"")</f>
        <v/>
      </c>
      <c r="G127" t="str">
        <f>IF(Draft_Import!$D127=G$1,COUNTIF(Draft_Import!$D$2:'Draft_Import'!$D127,G$1),"")</f>
        <v/>
      </c>
      <c r="I127" t="str">
        <f>IF(Draft_Import!$D127=I$1,COUNTIF(Draft_Import!$D$2:'Draft_Import'!$D127,I$1),"")</f>
        <v/>
      </c>
      <c r="K127" t="str">
        <f>IF(Draft_Import!$D127=K$1,COUNTIF(Draft_Import!$D$2:'Draft_Import'!$D127,K$1),"")</f>
        <v/>
      </c>
      <c r="M127" t="str">
        <f>IF(Draft_Import!$D127=M$1,COUNTIF(Draft_Import!$D$2:'Draft_Import'!$D127,M$1),"")</f>
        <v/>
      </c>
      <c r="O127" t="str">
        <f>IF(Draft_Import!$D127=O$1,COUNTIF(Draft_Import!$D$2:'Draft_Import'!$D127,O$1),"")</f>
        <v/>
      </c>
      <c r="Q127" t="str">
        <f>IF(Draft_Import!$D127=Q$1,COUNTIF(Draft_Import!$D$2:'Draft_Import'!$D127,Q$1),"")</f>
        <v/>
      </c>
      <c r="S127" t="str">
        <f>IF(Draft_Import!$D127=S$1,COUNTIF(Draft_Import!$D$2:'Draft_Import'!$D127,S$1),"")</f>
        <v/>
      </c>
    </row>
    <row r="128" spans="1:19" x14ac:dyDescent="0.25">
      <c r="A128" t="str">
        <f>IF(Draft_Import!$D128=A$1,COUNTIF(Draft_Import!$D$2:'Draft_Import'!$D128,A$1),"")</f>
        <v/>
      </c>
      <c r="C128" t="str">
        <f>IF(Draft_Import!$D128=C$1,COUNTIF(Draft_Import!$D$2:'Draft_Import'!$D128,C$1),"")</f>
        <v/>
      </c>
      <c r="E128" t="str">
        <f>IF(Draft_Import!$D128=E$1,COUNTIF(Draft_Import!$D$2:'Draft_Import'!$D128,E$1),"")</f>
        <v/>
      </c>
      <c r="G128" t="str">
        <f>IF(Draft_Import!$D128=G$1,COUNTIF(Draft_Import!$D$2:'Draft_Import'!$D128,G$1),"")</f>
        <v/>
      </c>
      <c r="I128" t="str">
        <f>IF(Draft_Import!$D128=I$1,COUNTIF(Draft_Import!$D$2:'Draft_Import'!$D128,I$1),"")</f>
        <v/>
      </c>
      <c r="K128" t="str">
        <f>IF(Draft_Import!$D128=K$1,COUNTIF(Draft_Import!$D$2:'Draft_Import'!$D128,K$1),"")</f>
        <v/>
      </c>
      <c r="M128" t="str">
        <f>IF(Draft_Import!$D128=M$1,COUNTIF(Draft_Import!$D$2:'Draft_Import'!$D128,M$1),"")</f>
        <v/>
      </c>
      <c r="O128" t="str">
        <f>IF(Draft_Import!$D128=O$1,COUNTIF(Draft_Import!$D$2:'Draft_Import'!$D128,O$1),"")</f>
        <v/>
      </c>
      <c r="Q128" t="str">
        <f>IF(Draft_Import!$D128=Q$1,COUNTIF(Draft_Import!$D$2:'Draft_Import'!$D128,Q$1),"")</f>
        <v/>
      </c>
      <c r="S128" t="str">
        <f>IF(Draft_Import!$D128=S$1,COUNTIF(Draft_Import!$D$2:'Draft_Import'!$D128,S$1),"")</f>
        <v/>
      </c>
    </row>
    <row r="129" spans="1:19" x14ac:dyDescent="0.25">
      <c r="A129" t="str">
        <f>IF(Draft_Import!$D129=A$1,COUNTIF(Draft_Import!$D$2:'Draft_Import'!$D129,A$1),"")</f>
        <v/>
      </c>
      <c r="C129" t="str">
        <f>IF(Draft_Import!$D129=C$1,COUNTIF(Draft_Import!$D$2:'Draft_Import'!$D129,C$1),"")</f>
        <v/>
      </c>
      <c r="E129" t="str">
        <f>IF(Draft_Import!$D129=E$1,COUNTIF(Draft_Import!$D$2:'Draft_Import'!$D129,E$1),"")</f>
        <v/>
      </c>
      <c r="G129" t="str">
        <f>IF(Draft_Import!$D129=G$1,COUNTIF(Draft_Import!$D$2:'Draft_Import'!$D129,G$1),"")</f>
        <v/>
      </c>
      <c r="I129" t="str">
        <f>IF(Draft_Import!$D129=I$1,COUNTIF(Draft_Import!$D$2:'Draft_Import'!$D129,I$1),"")</f>
        <v/>
      </c>
      <c r="K129" t="str">
        <f>IF(Draft_Import!$D129=K$1,COUNTIF(Draft_Import!$D$2:'Draft_Import'!$D129,K$1),"")</f>
        <v/>
      </c>
      <c r="M129" t="str">
        <f>IF(Draft_Import!$D129=M$1,COUNTIF(Draft_Import!$D$2:'Draft_Import'!$D129,M$1),"")</f>
        <v/>
      </c>
      <c r="O129" t="str">
        <f>IF(Draft_Import!$D129=O$1,COUNTIF(Draft_Import!$D$2:'Draft_Import'!$D129,O$1),"")</f>
        <v/>
      </c>
      <c r="Q129" t="str">
        <f>IF(Draft_Import!$D129=Q$1,COUNTIF(Draft_Import!$D$2:'Draft_Import'!$D129,Q$1),"")</f>
        <v/>
      </c>
      <c r="S129" t="str">
        <f>IF(Draft_Import!$D129=S$1,COUNTIF(Draft_Import!$D$2:'Draft_Import'!$D129,S$1),"")</f>
        <v/>
      </c>
    </row>
    <row r="130" spans="1:19" x14ac:dyDescent="0.25">
      <c r="A130" t="str">
        <f>IF(Draft_Import!$D130=A$1,COUNTIF(Draft_Import!$D$2:'Draft_Import'!$D130,A$1),"")</f>
        <v/>
      </c>
      <c r="C130" t="str">
        <f>IF(Draft_Import!$D130=C$1,COUNTIF(Draft_Import!$D$2:'Draft_Import'!$D130,C$1),"")</f>
        <v/>
      </c>
      <c r="E130" t="str">
        <f>IF(Draft_Import!$D130=E$1,COUNTIF(Draft_Import!$D$2:'Draft_Import'!$D130,E$1),"")</f>
        <v/>
      </c>
      <c r="G130" t="str">
        <f>IF(Draft_Import!$D130=G$1,COUNTIF(Draft_Import!$D$2:'Draft_Import'!$D130,G$1),"")</f>
        <v/>
      </c>
      <c r="I130" t="str">
        <f>IF(Draft_Import!$D130=I$1,COUNTIF(Draft_Import!$D$2:'Draft_Import'!$D130,I$1),"")</f>
        <v/>
      </c>
      <c r="K130" t="str">
        <f>IF(Draft_Import!$D130=K$1,COUNTIF(Draft_Import!$D$2:'Draft_Import'!$D130,K$1),"")</f>
        <v/>
      </c>
      <c r="M130" t="str">
        <f>IF(Draft_Import!$D130=M$1,COUNTIF(Draft_Import!$D$2:'Draft_Import'!$D130,M$1),"")</f>
        <v/>
      </c>
      <c r="O130" t="str">
        <f>IF(Draft_Import!$D130=O$1,COUNTIF(Draft_Import!$D$2:'Draft_Import'!$D130,O$1),"")</f>
        <v/>
      </c>
      <c r="Q130" t="str">
        <f>IF(Draft_Import!$D130=Q$1,COUNTIF(Draft_Import!$D$2:'Draft_Import'!$D130,Q$1),"")</f>
        <v/>
      </c>
      <c r="S130" t="str">
        <f>IF(Draft_Import!$D130=S$1,COUNTIF(Draft_Import!$D$2:'Draft_Import'!$D130,S$1),"")</f>
        <v/>
      </c>
    </row>
    <row r="131" spans="1:19" x14ac:dyDescent="0.25">
      <c r="A131" t="str">
        <f>IF(Draft_Import!$D131=A$1,COUNTIF(Draft_Import!$D$2:'Draft_Import'!$D131,A$1),"")</f>
        <v/>
      </c>
      <c r="C131" t="str">
        <f>IF(Draft_Import!$D131=C$1,COUNTIF(Draft_Import!$D$2:'Draft_Import'!$D131,C$1),"")</f>
        <v/>
      </c>
      <c r="E131" t="str">
        <f>IF(Draft_Import!$D131=E$1,COUNTIF(Draft_Import!$D$2:'Draft_Import'!$D131,E$1),"")</f>
        <v/>
      </c>
      <c r="G131" t="str">
        <f>IF(Draft_Import!$D131=G$1,COUNTIF(Draft_Import!$D$2:'Draft_Import'!$D131,G$1),"")</f>
        <v/>
      </c>
      <c r="I131" t="str">
        <f>IF(Draft_Import!$D131=I$1,COUNTIF(Draft_Import!$D$2:'Draft_Import'!$D131,I$1),"")</f>
        <v/>
      </c>
      <c r="K131" t="str">
        <f>IF(Draft_Import!$D131=K$1,COUNTIF(Draft_Import!$D$2:'Draft_Import'!$D131,K$1),"")</f>
        <v/>
      </c>
      <c r="M131" t="str">
        <f>IF(Draft_Import!$D131=M$1,COUNTIF(Draft_Import!$D$2:'Draft_Import'!$D131,M$1),"")</f>
        <v/>
      </c>
      <c r="O131" t="str">
        <f>IF(Draft_Import!$D131=O$1,COUNTIF(Draft_Import!$D$2:'Draft_Import'!$D131,O$1),"")</f>
        <v/>
      </c>
      <c r="Q131" t="str">
        <f>IF(Draft_Import!$D131=Q$1,COUNTIF(Draft_Import!$D$2:'Draft_Import'!$D131,Q$1),"")</f>
        <v/>
      </c>
      <c r="S131" t="str">
        <f>IF(Draft_Import!$D131=S$1,COUNTIF(Draft_Import!$D$2:'Draft_Import'!$D131,S$1),"")</f>
        <v/>
      </c>
    </row>
    <row r="132" spans="1:19" x14ac:dyDescent="0.25">
      <c r="A132" t="str">
        <f>IF(Draft_Import!$D132=A$1,COUNTIF(Draft_Import!$D$2:'Draft_Import'!$D132,A$1),"")</f>
        <v/>
      </c>
      <c r="C132" t="str">
        <f>IF(Draft_Import!$D132=C$1,COUNTIF(Draft_Import!$D$2:'Draft_Import'!$D132,C$1),"")</f>
        <v/>
      </c>
      <c r="E132" t="str">
        <f>IF(Draft_Import!$D132=E$1,COUNTIF(Draft_Import!$D$2:'Draft_Import'!$D132,E$1),"")</f>
        <v/>
      </c>
      <c r="G132" t="str">
        <f>IF(Draft_Import!$D132=G$1,COUNTIF(Draft_Import!$D$2:'Draft_Import'!$D132,G$1),"")</f>
        <v/>
      </c>
      <c r="I132" t="str">
        <f>IF(Draft_Import!$D132=I$1,COUNTIF(Draft_Import!$D$2:'Draft_Import'!$D132,I$1),"")</f>
        <v/>
      </c>
      <c r="K132" t="str">
        <f>IF(Draft_Import!$D132=K$1,COUNTIF(Draft_Import!$D$2:'Draft_Import'!$D132,K$1),"")</f>
        <v/>
      </c>
      <c r="M132" t="str">
        <f>IF(Draft_Import!$D132=M$1,COUNTIF(Draft_Import!$D$2:'Draft_Import'!$D132,M$1),"")</f>
        <v/>
      </c>
      <c r="O132" t="str">
        <f>IF(Draft_Import!$D132=O$1,COUNTIF(Draft_Import!$D$2:'Draft_Import'!$D132,O$1),"")</f>
        <v/>
      </c>
      <c r="Q132" t="str">
        <f>IF(Draft_Import!$D132=Q$1,COUNTIF(Draft_Import!$D$2:'Draft_Import'!$D132,Q$1),"")</f>
        <v/>
      </c>
      <c r="S132" t="str">
        <f>IF(Draft_Import!$D132=S$1,COUNTIF(Draft_Import!$D$2:'Draft_Import'!$D132,S$1),"")</f>
        <v/>
      </c>
    </row>
    <row r="133" spans="1:19" x14ac:dyDescent="0.25">
      <c r="A133" t="str">
        <f>IF(Draft_Import!$D133=A$1,COUNTIF(Draft_Import!$D$2:'Draft_Import'!$D133,A$1),"")</f>
        <v/>
      </c>
      <c r="C133" t="str">
        <f>IF(Draft_Import!$D133=C$1,COUNTIF(Draft_Import!$D$2:'Draft_Import'!$D133,C$1),"")</f>
        <v/>
      </c>
      <c r="E133" t="str">
        <f>IF(Draft_Import!$D133=E$1,COUNTIF(Draft_Import!$D$2:'Draft_Import'!$D133,E$1),"")</f>
        <v/>
      </c>
      <c r="G133" t="str">
        <f>IF(Draft_Import!$D133=G$1,COUNTIF(Draft_Import!$D$2:'Draft_Import'!$D133,G$1),"")</f>
        <v/>
      </c>
      <c r="I133" t="str">
        <f>IF(Draft_Import!$D133=I$1,COUNTIF(Draft_Import!$D$2:'Draft_Import'!$D133,I$1),"")</f>
        <v/>
      </c>
      <c r="K133" t="str">
        <f>IF(Draft_Import!$D133=K$1,COUNTIF(Draft_Import!$D$2:'Draft_Import'!$D133,K$1),"")</f>
        <v/>
      </c>
      <c r="M133" t="str">
        <f>IF(Draft_Import!$D133=M$1,COUNTIF(Draft_Import!$D$2:'Draft_Import'!$D133,M$1),"")</f>
        <v/>
      </c>
      <c r="O133" t="str">
        <f>IF(Draft_Import!$D133=O$1,COUNTIF(Draft_Import!$D$2:'Draft_Import'!$D133,O$1),"")</f>
        <v/>
      </c>
      <c r="Q133" t="str">
        <f>IF(Draft_Import!$D133=Q$1,COUNTIF(Draft_Import!$D$2:'Draft_Import'!$D133,Q$1),"")</f>
        <v/>
      </c>
      <c r="S133" t="str">
        <f>IF(Draft_Import!$D133=S$1,COUNTIF(Draft_Import!$D$2:'Draft_Import'!$D133,S$1),"")</f>
        <v/>
      </c>
    </row>
    <row r="134" spans="1:19" x14ac:dyDescent="0.25">
      <c r="A134" t="str">
        <f>IF(Draft_Import!$D134=A$1,COUNTIF(Draft_Import!$D$2:'Draft_Import'!$D134,A$1),"")</f>
        <v/>
      </c>
      <c r="C134" t="str">
        <f>IF(Draft_Import!$D134=C$1,COUNTIF(Draft_Import!$D$2:'Draft_Import'!$D134,C$1),"")</f>
        <v/>
      </c>
      <c r="E134" t="str">
        <f>IF(Draft_Import!$D134=E$1,COUNTIF(Draft_Import!$D$2:'Draft_Import'!$D134,E$1),"")</f>
        <v/>
      </c>
      <c r="G134" t="str">
        <f>IF(Draft_Import!$D134=G$1,COUNTIF(Draft_Import!$D$2:'Draft_Import'!$D134,G$1),"")</f>
        <v/>
      </c>
      <c r="I134" t="str">
        <f>IF(Draft_Import!$D134=I$1,COUNTIF(Draft_Import!$D$2:'Draft_Import'!$D134,I$1),"")</f>
        <v/>
      </c>
      <c r="K134" t="str">
        <f>IF(Draft_Import!$D134=K$1,COUNTIF(Draft_Import!$D$2:'Draft_Import'!$D134,K$1),"")</f>
        <v/>
      </c>
      <c r="M134" t="str">
        <f>IF(Draft_Import!$D134=M$1,COUNTIF(Draft_Import!$D$2:'Draft_Import'!$D134,M$1),"")</f>
        <v/>
      </c>
      <c r="O134" t="str">
        <f>IF(Draft_Import!$D134=O$1,COUNTIF(Draft_Import!$D$2:'Draft_Import'!$D134,O$1),"")</f>
        <v/>
      </c>
      <c r="Q134" t="str">
        <f>IF(Draft_Import!$D134=Q$1,COUNTIF(Draft_Import!$D$2:'Draft_Import'!$D134,Q$1),"")</f>
        <v/>
      </c>
      <c r="S134" t="str">
        <f>IF(Draft_Import!$D134=S$1,COUNTIF(Draft_Import!$D$2:'Draft_Import'!$D134,S$1),"")</f>
        <v/>
      </c>
    </row>
    <row r="135" spans="1:19" x14ac:dyDescent="0.25">
      <c r="A135" t="str">
        <f>IF(Draft_Import!$D135=A$1,COUNTIF(Draft_Import!$D$2:'Draft_Import'!$D135,A$1),"")</f>
        <v/>
      </c>
      <c r="C135" t="str">
        <f>IF(Draft_Import!$D135=C$1,COUNTIF(Draft_Import!$D$2:'Draft_Import'!$D135,C$1),"")</f>
        <v/>
      </c>
      <c r="E135" t="str">
        <f>IF(Draft_Import!$D135=E$1,COUNTIF(Draft_Import!$D$2:'Draft_Import'!$D135,E$1),"")</f>
        <v/>
      </c>
      <c r="G135" t="str">
        <f>IF(Draft_Import!$D135=G$1,COUNTIF(Draft_Import!$D$2:'Draft_Import'!$D135,G$1),"")</f>
        <v/>
      </c>
      <c r="I135" t="str">
        <f>IF(Draft_Import!$D135=I$1,COUNTIF(Draft_Import!$D$2:'Draft_Import'!$D135,I$1),"")</f>
        <v/>
      </c>
      <c r="K135" t="str">
        <f>IF(Draft_Import!$D135=K$1,COUNTIF(Draft_Import!$D$2:'Draft_Import'!$D135,K$1),"")</f>
        <v/>
      </c>
      <c r="M135" t="str">
        <f>IF(Draft_Import!$D135=M$1,COUNTIF(Draft_Import!$D$2:'Draft_Import'!$D135,M$1),"")</f>
        <v/>
      </c>
      <c r="O135" t="str">
        <f>IF(Draft_Import!$D135=O$1,COUNTIF(Draft_Import!$D$2:'Draft_Import'!$D135,O$1),"")</f>
        <v/>
      </c>
      <c r="Q135" t="str">
        <f>IF(Draft_Import!$D135=Q$1,COUNTIF(Draft_Import!$D$2:'Draft_Import'!$D135,Q$1),"")</f>
        <v/>
      </c>
      <c r="S135" t="str">
        <f>IF(Draft_Import!$D135=S$1,COUNTIF(Draft_Import!$D$2:'Draft_Import'!$D135,S$1),"")</f>
        <v/>
      </c>
    </row>
    <row r="136" spans="1:19" x14ac:dyDescent="0.25">
      <c r="A136" t="str">
        <f>IF(Draft_Import!$D136=A$1,COUNTIF(Draft_Import!$D$2:'Draft_Import'!$D136,A$1),"")</f>
        <v/>
      </c>
      <c r="C136" t="str">
        <f>IF(Draft_Import!$D136=C$1,COUNTIF(Draft_Import!$D$2:'Draft_Import'!$D136,C$1),"")</f>
        <v/>
      </c>
      <c r="E136" t="str">
        <f>IF(Draft_Import!$D136=E$1,COUNTIF(Draft_Import!$D$2:'Draft_Import'!$D136,E$1),"")</f>
        <v/>
      </c>
      <c r="G136" t="str">
        <f>IF(Draft_Import!$D136=G$1,COUNTIF(Draft_Import!$D$2:'Draft_Import'!$D136,G$1),"")</f>
        <v/>
      </c>
      <c r="I136" t="str">
        <f>IF(Draft_Import!$D136=I$1,COUNTIF(Draft_Import!$D$2:'Draft_Import'!$D136,I$1),"")</f>
        <v/>
      </c>
      <c r="K136" t="str">
        <f>IF(Draft_Import!$D136=K$1,COUNTIF(Draft_Import!$D$2:'Draft_Import'!$D136,K$1),"")</f>
        <v/>
      </c>
      <c r="M136" t="str">
        <f>IF(Draft_Import!$D136=M$1,COUNTIF(Draft_Import!$D$2:'Draft_Import'!$D136,M$1),"")</f>
        <v/>
      </c>
      <c r="O136" t="str">
        <f>IF(Draft_Import!$D136=O$1,COUNTIF(Draft_Import!$D$2:'Draft_Import'!$D136,O$1),"")</f>
        <v/>
      </c>
      <c r="Q136" t="str">
        <f>IF(Draft_Import!$D136=Q$1,COUNTIF(Draft_Import!$D$2:'Draft_Import'!$D136,Q$1),"")</f>
        <v/>
      </c>
      <c r="S136" t="str">
        <f>IF(Draft_Import!$D136=S$1,COUNTIF(Draft_Import!$D$2:'Draft_Import'!$D136,S$1),"")</f>
        <v/>
      </c>
    </row>
    <row r="137" spans="1:19" x14ac:dyDescent="0.25">
      <c r="A137" t="str">
        <f>IF(Draft_Import!$D137=A$1,COUNTIF(Draft_Import!$D$2:'Draft_Import'!$D137,A$1),"")</f>
        <v/>
      </c>
      <c r="C137" t="str">
        <f>IF(Draft_Import!$D137=C$1,COUNTIF(Draft_Import!$D$2:'Draft_Import'!$D137,C$1),"")</f>
        <v/>
      </c>
      <c r="E137" t="str">
        <f>IF(Draft_Import!$D137=E$1,COUNTIF(Draft_Import!$D$2:'Draft_Import'!$D137,E$1),"")</f>
        <v/>
      </c>
      <c r="G137" t="str">
        <f>IF(Draft_Import!$D137=G$1,COUNTIF(Draft_Import!$D$2:'Draft_Import'!$D137,G$1),"")</f>
        <v/>
      </c>
      <c r="I137" t="str">
        <f>IF(Draft_Import!$D137=I$1,COUNTIF(Draft_Import!$D$2:'Draft_Import'!$D137,I$1),"")</f>
        <v/>
      </c>
      <c r="K137" t="str">
        <f>IF(Draft_Import!$D137=K$1,COUNTIF(Draft_Import!$D$2:'Draft_Import'!$D137,K$1),"")</f>
        <v/>
      </c>
      <c r="M137" t="str">
        <f>IF(Draft_Import!$D137=M$1,COUNTIF(Draft_Import!$D$2:'Draft_Import'!$D137,M$1),"")</f>
        <v/>
      </c>
      <c r="O137" t="str">
        <f>IF(Draft_Import!$D137=O$1,COUNTIF(Draft_Import!$D$2:'Draft_Import'!$D137,O$1),"")</f>
        <v/>
      </c>
      <c r="Q137" t="str">
        <f>IF(Draft_Import!$D137=Q$1,COUNTIF(Draft_Import!$D$2:'Draft_Import'!$D137,Q$1),"")</f>
        <v/>
      </c>
      <c r="S137" t="str">
        <f>IF(Draft_Import!$D137=S$1,COUNTIF(Draft_Import!$D$2:'Draft_Import'!$D137,S$1),"")</f>
        <v/>
      </c>
    </row>
    <row r="138" spans="1:19" x14ac:dyDescent="0.25">
      <c r="A138" t="str">
        <f>IF(Draft_Import!$D138=A$1,COUNTIF(Draft_Import!$D$2:'Draft_Import'!$D138,A$1),"")</f>
        <v/>
      </c>
      <c r="C138" t="str">
        <f>IF(Draft_Import!$D138=C$1,COUNTIF(Draft_Import!$D$2:'Draft_Import'!$D138,C$1),"")</f>
        <v/>
      </c>
      <c r="E138" t="str">
        <f>IF(Draft_Import!$D138=E$1,COUNTIF(Draft_Import!$D$2:'Draft_Import'!$D138,E$1),"")</f>
        <v/>
      </c>
      <c r="G138" t="str">
        <f>IF(Draft_Import!$D138=G$1,COUNTIF(Draft_Import!$D$2:'Draft_Import'!$D138,G$1),"")</f>
        <v/>
      </c>
      <c r="I138" t="str">
        <f>IF(Draft_Import!$D138=I$1,COUNTIF(Draft_Import!$D$2:'Draft_Import'!$D138,I$1),"")</f>
        <v/>
      </c>
      <c r="K138" t="str">
        <f>IF(Draft_Import!$D138=K$1,COUNTIF(Draft_Import!$D$2:'Draft_Import'!$D138,K$1),"")</f>
        <v/>
      </c>
      <c r="M138" t="str">
        <f>IF(Draft_Import!$D138=M$1,COUNTIF(Draft_Import!$D$2:'Draft_Import'!$D138,M$1),"")</f>
        <v/>
      </c>
      <c r="O138" t="str">
        <f>IF(Draft_Import!$D138=O$1,COUNTIF(Draft_Import!$D$2:'Draft_Import'!$D138,O$1),"")</f>
        <v/>
      </c>
      <c r="Q138" t="str">
        <f>IF(Draft_Import!$D138=Q$1,COUNTIF(Draft_Import!$D$2:'Draft_Import'!$D138,Q$1),"")</f>
        <v/>
      </c>
      <c r="S138" t="str">
        <f>IF(Draft_Import!$D138=S$1,COUNTIF(Draft_Import!$D$2:'Draft_Import'!$D138,S$1),"")</f>
        <v/>
      </c>
    </row>
    <row r="139" spans="1:19" x14ac:dyDescent="0.25">
      <c r="A139" t="str">
        <f>IF(Draft_Import!$D139=A$1,COUNTIF(Draft_Import!$D$2:'Draft_Import'!$D139,A$1),"")</f>
        <v/>
      </c>
      <c r="C139" t="str">
        <f>IF(Draft_Import!$D139=C$1,COUNTIF(Draft_Import!$D$2:'Draft_Import'!$D139,C$1),"")</f>
        <v/>
      </c>
      <c r="E139" t="str">
        <f>IF(Draft_Import!$D139=E$1,COUNTIF(Draft_Import!$D$2:'Draft_Import'!$D139,E$1),"")</f>
        <v/>
      </c>
      <c r="G139" t="str">
        <f>IF(Draft_Import!$D139=G$1,COUNTIF(Draft_Import!$D$2:'Draft_Import'!$D139,G$1),"")</f>
        <v/>
      </c>
      <c r="I139" t="str">
        <f>IF(Draft_Import!$D139=I$1,COUNTIF(Draft_Import!$D$2:'Draft_Import'!$D139,I$1),"")</f>
        <v/>
      </c>
      <c r="K139" t="str">
        <f>IF(Draft_Import!$D139=K$1,COUNTIF(Draft_Import!$D$2:'Draft_Import'!$D139,K$1),"")</f>
        <v/>
      </c>
      <c r="M139" t="str">
        <f>IF(Draft_Import!$D139=M$1,COUNTIF(Draft_Import!$D$2:'Draft_Import'!$D139,M$1),"")</f>
        <v/>
      </c>
      <c r="O139" t="str">
        <f>IF(Draft_Import!$D139=O$1,COUNTIF(Draft_Import!$D$2:'Draft_Import'!$D139,O$1),"")</f>
        <v/>
      </c>
      <c r="Q139" t="str">
        <f>IF(Draft_Import!$D139=Q$1,COUNTIF(Draft_Import!$D$2:'Draft_Import'!$D139,Q$1),"")</f>
        <v/>
      </c>
      <c r="S139" t="str">
        <f>IF(Draft_Import!$D139=S$1,COUNTIF(Draft_Import!$D$2:'Draft_Import'!$D139,S$1),"")</f>
        <v/>
      </c>
    </row>
    <row r="140" spans="1:19" x14ac:dyDescent="0.25">
      <c r="A140" t="str">
        <f>IF(Draft_Import!$D140=A$1,COUNTIF(Draft_Import!$D$2:'Draft_Import'!$D140,A$1),"")</f>
        <v/>
      </c>
      <c r="C140" t="str">
        <f>IF(Draft_Import!$D140=C$1,COUNTIF(Draft_Import!$D$2:'Draft_Import'!$D140,C$1),"")</f>
        <v/>
      </c>
      <c r="E140" t="str">
        <f>IF(Draft_Import!$D140=E$1,COUNTIF(Draft_Import!$D$2:'Draft_Import'!$D140,E$1),"")</f>
        <v/>
      </c>
      <c r="G140" t="str">
        <f>IF(Draft_Import!$D140=G$1,COUNTIF(Draft_Import!$D$2:'Draft_Import'!$D140,G$1),"")</f>
        <v/>
      </c>
      <c r="I140" t="str">
        <f>IF(Draft_Import!$D140=I$1,COUNTIF(Draft_Import!$D$2:'Draft_Import'!$D140,I$1),"")</f>
        <v/>
      </c>
      <c r="K140" t="str">
        <f>IF(Draft_Import!$D140=K$1,COUNTIF(Draft_Import!$D$2:'Draft_Import'!$D140,K$1),"")</f>
        <v/>
      </c>
      <c r="M140" t="str">
        <f>IF(Draft_Import!$D140=M$1,COUNTIF(Draft_Import!$D$2:'Draft_Import'!$D140,M$1),"")</f>
        <v/>
      </c>
      <c r="O140" t="str">
        <f>IF(Draft_Import!$D140=O$1,COUNTIF(Draft_Import!$D$2:'Draft_Import'!$D140,O$1),"")</f>
        <v/>
      </c>
      <c r="Q140" t="str">
        <f>IF(Draft_Import!$D140=Q$1,COUNTIF(Draft_Import!$D$2:'Draft_Import'!$D140,Q$1),"")</f>
        <v/>
      </c>
      <c r="S140" t="str">
        <f>IF(Draft_Import!$D140=S$1,COUNTIF(Draft_Import!$D$2:'Draft_Import'!$D140,S$1),"")</f>
        <v/>
      </c>
    </row>
    <row r="141" spans="1:19" x14ac:dyDescent="0.25">
      <c r="A141" t="str">
        <f>IF(Draft_Import!$D141=A$1,COUNTIF(Draft_Import!$D$2:'Draft_Import'!$D141,A$1),"")</f>
        <v/>
      </c>
      <c r="C141" t="str">
        <f>IF(Draft_Import!$D141=C$1,COUNTIF(Draft_Import!$D$2:'Draft_Import'!$D141,C$1),"")</f>
        <v/>
      </c>
      <c r="E141" t="str">
        <f>IF(Draft_Import!$D141=E$1,COUNTIF(Draft_Import!$D$2:'Draft_Import'!$D141,E$1),"")</f>
        <v/>
      </c>
      <c r="G141" t="str">
        <f>IF(Draft_Import!$D141=G$1,COUNTIF(Draft_Import!$D$2:'Draft_Import'!$D141,G$1),"")</f>
        <v/>
      </c>
      <c r="I141" t="str">
        <f>IF(Draft_Import!$D141=I$1,COUNTIF(Draft_Import!$D$2:'Draft_Import'!$D141,I$1),"")</f>
        <v/>
      </c>
      <c r="K141" t="str">
        <f>IF(Draft_Import!$D141=K$1,COUNTIF(Draft_Import!$D$2:'Draft_Import'!$D141,K$1),"")</f>
        <v/>
      </c>
      <c r="M141" t="str">
        <f>IF(Draft_Import!$D141=M$1,COUNTIF(Draft_Import!$D$2:'Draft_Import'!$D141,M$1),"")</f>
        <v/>
      </c>
      <c r="O141" t="str">
        <f>IF(Draft_Import!$D141=O$1,COUNTIF(Draft_Import!$D$2:'Draft_Import'!$D141,O$1),"")</f>
        <v/>
      </c>
      <c r="Q141" t="str">
        <f>IF(Draft_Import!$D141=Q$1,COUNTIF(Draft_Import!$D$2:'Draft_Import'!$D141,Q$1),"")</f>
        <v/>
      </c>
      <c r="S141" t="str">
        <f>IF(Draft_Import!$D141=S$1,COUNTIF(Draft_Import!$D$2:'Draft_Import'!$D141,S$1),"")</f>
        <v/>
      </c>
    </row>
    <row r="142" spans="1:19" x14ac:dyDescent="0.25">
      <c r="A142" t="str">
        <f>IF(Draft_Import!$D142=A$1,COUNTIF(Draft_Import!$D$2:'Draft_Import'!$D142,A$1),"")</f>
        <v/>
      </c>
      <c r="C142" t="str">
        <f>IF(Draft_Import!$D142=C$1,COUNTIF(Draft_Import!$D$2:'Draft_Import'!$D142,C$1),"")</f>
        <v/>
      </c>
      <c r="E142" t="str">
        <f>IF(Draft_Import!$D142=E$1,COUNTIF(Draft_Import!$D$2:'Draft_Import'!$D142,E$1),"")</f>
        <v/>
      </c>
      <c r="G142" t="str">
        <f>IF(Draft_Import!$D142=G$1,COUNTIF(Draft_Import!$D$2:'Draft_Import'!$D142,G$1),"")</f>
        <v/>
      </c>
      <c r="I142" t="str">
        <f>IF(Draft_Import!$D142=I$1,COUNTIF(Draft_Import!$D$2:'Draft_Import'!$D142,I$1),"")</f>
        <v/>
      </c>
      <c r="K142" t="str">
        <f>IF(Draft_Import!$D142=K$1,COUNTIF(Draft_Import!$D$2:'Draft_Import'!$D142,K$1),"")</f>
        <v/>
      </c>
      <c r="M142" t="str">
        <f>IF(Draft_Import!$D142=M$1,COUNTIF(Draft_Import!$D$2:'Draft_Import'!$D142,M$1),"")</f>
        <v/>
      </c>
      <c r="O142" t="str">
        <f>IF(Draft_Import!$D142=O$1,COUNTIF(Draft_Import!$D$2:'Draft_Import'!$D142,O$1),"")</f>
        <v/>
      </c>
      <c r="Q142" t="str">
        <f>IF(Draft_Import!$D142=Q$1,COUNTIF(Draft_Import!$D$2:'Draft_Import'!$D142,Q$1),"")</f>
        <v/>
      </c>
      <c r="S142" t="str">
        <f>IF(Draft_Import!$D142=S$1,COUNTIF(Draft_Import!$D$2:'Draft_Import'!$D142,S$1),"")</f>
        <v/>
      </c>
    </row>
    <row r="143" spans="1:19" x14ac:dyDescent="0.25">
      <c r="A143" t="str">
        <f>IF(Draft_Import!$D143=A$1,COUNTIF(Draft_Import!$D$2:'Draft_Import'!$D143,A$1),"")</f>
        <v/>
      </c>
      <c r="C143" t="str">
        <f>IF(Draft_Import!$D143=C$1,COUNTIF(Draft_Import!$D$2:'Draft_Import'!$D143,C$1),"")</f>
        <v/>
      </c>
      <c r="E143" t="str">
        <f>IF(Draft_Import!$D143=E$1,COUNTIF(Draft_Import!$D$2:'Draft_Import'!$D143,E$1),"")</f>
        <v/>
      </c>
      <c r="G143" t="str">
        <f>IF(Draft_Import!$D143=G$1,COUNTIF(Draft_Import!$D$2:'Draft_Import'!$D143,G$1),"")</f>
        <v/>
      </c>
      <c r="I143" t="str">
        <f>IF(Draft_Import!$D143=I$1,COUNTIF(Draft_Import!$D$2:'Draft_Import'!$D143,I$1),"")</f>
        <v/>
      </c>
      <c r="K143" t="str">
        <f>IF(Draft_Import!$D143=K$1,COUNTIF(Draft_Import!$D$2:'Draft_Import'!$D143,K$1),"")</f>
        <v/>
      </c>
      <c r="M143" t="str">
        <f>IF(Draft_Import!$D143=M$1,COUNTIF(Draft_Import!$D$2:'Draft_Import'!$D143,M$1),"")</f>
        <v/>
      </c>
      <c r="O143" t="str">
        <f>IF(Draft_Import!$D143=O$1,COUNTIF(Draft_Import!$D$2:'Draft_Import'!$D143,O$1),"")</f>
        <v/>
      </c>
      <c r="Q143" t="str">
        <f>IF(Draft_Import!$D143=Q$1,COUNTIF(Draft_Import!$D$2:'Draft_Import'!$D143,Q$1),"")</f>
        <v/>
      </c>
      <c r="S143" t="str">
        <f>IF(Draft_Import!$D143=S$1,COUNTIF(Draft_Import!$D$2:'Draft_Import'!$D143,S$1),"")</f>
        <v/>
      </c>
    </row>
    <row r="144" spans="1:19" x14ac:dyDescent="0.25">
      <c r="A144" t="str">
        <f>IF(Draft_Import!$D144=A$1,COUNTIF(Draft_Import!$D$2:'Draft_Import'!$D144,A$1),"")</f>
        <v/>
      </c>
      <c r="C144" t="str">
        <f>IF(Draft_Import!$D144=C$1,COUNTIF(Draft_Import!$D$2:'Draft_Import'!$D144,C$1),"")</f>
        <v/>
      </c>
      <c r="E144" t="str">
        <f>IF(Draft_Import!$D144=E$1,COUNTIF(Draft_Import!$D$2:'Draft_Import'!$D144,E$1),"")</f>
        <v/>
      </c>
      <c r="G144" t="str">
        <f>IF(Draft_Import!$D144=G$1,COUNTIF(Draft_Import!$D$2:'Draft_Import'!$D144,G$1),"")</f>
        <v/>
      </c>
      <c r="I144" t="str">
        <f>IF(Draft_Import!$D144=I$1,COUNTIF(Draft_Import!$D$2:'Draft_Import'!$D144,I$1),"")</f>
        <v/>
      </c>
      <c r="K144" t="str">
        <f>IF(Draft_Import!$D144=K$1,COUNTIF(Draft_Import!$D$2:'Draft_Import'!$D144,K$1),"")</f>
        <v/>
      </c>
      <c r="M144" t="str">
        <f>IF(Draft_Import!$D144=M$1,COUNTIF(Draft_Import!$D$2:'Draft_Import'!$D144,M$1),"")</f>
        <v/>
      </c>
      <c r="O144" t="str">
        <f>IF(Draft_Import!$D144=O$1,COUNTIF(Draft_Import!$D$2:'Draft_Import'!$D144,O$1),"")</f>
        <v/>
      </c>
      <c r="Q144" t="str">
        <f>IF(Draft_Import!$D144=Q$1,COUNTIF(Draft_Import!$D$2:'Draft_Import'!$D144,Q$1),"")</f>
        <v/>
      </c>
      <c r="S144" t="str">
        <f>IF(Draft_Import!$D144=S$1,COUNTIF(Draft_Import!$D$2:'Draft_Import'!$D144,S$1),"")</f>
        <v/>
      </c>
    </row>
    <row r="145" spans="1:19" x14ac:dyDescent="0.25">
      <c r="A145" t="str">
        <f>IF(Draft_Import!$D145=A$1,COUNTIF(Draft_Import!$D$2:'Draft_Import'!$D145,A$1),"")</f>
        <v/>
      </c>
      <c r="C145" t="str">
        <f>IF(Draft_Import!$D145=C$1,COUNTIF(Draft_Import!$D$2:'Draft_Import'!$D145,C$1),"")</f>
        <v/>
      </c>
      <c r="E145" t="str">
        <f>IF(Draft_Import!$D145=E$1,COUNTIF(Draft_Import!$D$2:'Draft_Import'!$D145,E$1),"")</f>
        <v/>
      </c>
      <c r="G145" t="str">
        <f>IF(Draft_Import!$D145=G$1,COUNTIF(Draft_Import!$D$2:'Draft_Import'!$D145,G$1),"")</f>
        <v/>
      </c>
      <c r="I145" t="str">
        <f>IF(Draft_Import!$D145=I$1,COUNTIF(Draft_Import!$D$2:'Draft_Import'!$D145,I$1),"")</f>
        <v/>
      </c>
      <c r="K145" t="str">
        <f>IF(Draft_Import!$D145=K$1,COUNTIF(Draft_Import!$D$2:'Draft_Import'!$D145,K$1),"")</f>
        <v/>
      </c>
      <c r="M145" t="str">
        <f>IF(Draft_Import!$D145=M$1,COUNTIF(Draft_Import!$D$2:'Draft_Import'!$D145,M$1),"")</f>
        <v/>
      </c>
      <c r="O145" t="str">
        <f>IF(Draft_Import!$D145=O$1,COUNTIF(Draft_Import!$D$2:'Draft_Import'!$D145,O$1),"")</f>
        <v/>
      </c>
      <c r="Q145" t="str">
        <f>IF(Draft_Import!$D145=Q$1,COUNTIF(Draft_Import!$D$2:'Draft_Import'!$D145,Q$1),"")</f>
        <v/>
      </c>
      <c r="S145" t="str">
        <f>IF(Draft_Import!$D145=S$1,COUNTIF(Draft_Import!$D$2:'Draft_Import'!$D145,S$1),"")</f>
        <v/>
      </c>
    </row>
    <row r="146" spans="1:19" x14ac:dyDescent="0.25">
      <c r="A146" t="str">
        <f>IF(Draft_Import!$D146=A$1,COUNTIF(Draft_Import!$D$2:'Draft_Import'!$D146,A$1),"")</f>
        <v/>
      </c>
      <c r="C146" t="str">
        <f>IF(Draft_Import!$D146=C$1,COUNTIF(Draft_Import!$D$2:'Draft_Import'!$D146,C$1),"")</f>
        <v/>
      </c>
      <c r="E146" t="str">
        <f>IF(Draft_Import!$D146=E$1,COUNTIF(Draft_Import!$D$2:'Draft_Import'!$D146,E$1),"")</f>
        <v/>
      </c>
      <c r="G146" t="str">
        <f>IF(Draft_Import!$D146=G$1,COUNTIF(Draft_Import!$D$2:'Draft_Import'!$D146,G$1),"")</f>
        <v/>
      </c>
      <c r="I146" t="str">
        <f>IF(Draft_Import!$D146=I$1,COUNTIF(Draft_Import!$D$2:'Draft_Import'!$D146,I$1),"")</f>
        <v/>
      </c>
      <c r="K146" t="str">
        <f>IF(Draft_Import!$D146=K$1,COUNTIF(Draft_Import!$D$2:'Draft_Import'!$D146,K$1),"")</f>
        <v/>
      </c>
      <c r="M146" t="str">
        <f>IF(Draft_Import!$D146=M$1,COUNTIF(Draft_Import!$D$2:'Draft_Import'!$D146,M$1),"")</f>
        <v/>
      </c>
      <c r="O146" t="str">
        <f>IF(Draft_Import!$D146=O$1,COUNTIF(Draft_Import!$D$2:'Draft_Import'!$D146,O$1),"")</f>
        <v/>
      </c>
      <c r="Q146" t="str">
        <f>IF(Draft_Import!$D146=Q$1,COUNTIF(Draft_Import!$D$2:'Draft_Import'!$D146,Q$1),"")</f>
        <v/>
      </c>
      <c r="S146" t="str">
        <f>IF(Draft_Import!$D146=S$1,COUNTIF(Draft_Import!$D$2:'Draft_Import'!$D146,S$1),"")</f>
        <v/>
      </c>
    </row>
    <row r="147" spans="1:19" x14ac:dyDescent="0.25">
      <c r="A147" t="str">
        <f>IF(Draft_Import!$D147=A$1,COUNTIF(Draft_Import!$D$2:'Draft_Import'!$D147,A$1),"")</f>
        <v/>
      </c>
      <c r="C147" t="str">
        <f>IF(Draft_Import!$D147=C$1,COUNTIF(Draft_Import!$D$2:'Draft_Import'!$D147,C$1),"")</f>
        <v/>
      </c>
      <c r="E147" t="str">
        <f>IF(Draft_Import!$D147=E$1,COUNTIF(Draft_Import!$D$2:'Draft_Import'!$D147,E$1),"")</f>
        <v/>
      </c>
      <c r="G147" t="str">
        <f>IF(Draft_Import!$D147=G$1,COUNTIF(Draft_Import!$D$2:'Draft_Import'!$D147,G$1),"")</f>
        <v/>
      </c>
      <c r="I147" t="str">
        <f>IF(Draft_Import!$D147=I$1,COUNTIF(Draft_Import!$D$2:'Draft_Import'!$D147,I$1),"")</f>
        <v/>
      </c>
      <c r="K147" t="str">
        <f>IF(Draft_Import!$D147=K$1,COUNTIF(Draft_Import!$D$2:'Draft_Import'!$D147,K$1),"")</f>
        <v/>
      </c>
      <c r="M147" t="str">
        <f>IF(Draft_Import!$D147=M$1,COUNTIF(Draft_Import!$D$2:'Draft_Import'!$D147,M$1),"")</f>
        <v/>
      </c>
      <c r="O147" t="str">
        <f>IF(Draft_Import!$D147=O$1,COUNTIF(Draft_Import!$D$2:'Draft_Import'!$D147,O$1),"")</f>
        <v/>
      </c>
      <c r="Q147" t="str">
        <f>IF(Draft_Import!$D147=Q$1,COUNTIF(Draft_Import!$D$2:'Draft_Import'!$D147,Q$1),"")</f>
        <v/>
      </c>
      <c r="S147" t="str">
        <f>IF(Draft_Import!$D147=S$1,COUNTIF(Draft_Import!$D$2:'Draft_Import'!$D147,S$1),"")</f>
        <v/>
      </c>
    </row>
    <row r="148" spans="1:19" x14ac:dyDescent="0.25">
      <c r="A148" t="str">
        <f>IF(Draft_Import!$D148=A$1,COUNTIF(Draft_Import!$D$2:'Draft_Import'!$D148,A$1),"")</f>
        <v/>
      </c>
      <c r="C148" t="str">
        <f>IF(Draft_Import!$D148=C$1,COUNTIF(Draft_Import!$D$2:'Draft_Import'!$D148,C$1),"")</f>
        <v/>
      </c>
      <c r="E148" t="str">
        <f>IF(Draft_Import!$D148=E$1,COUNTIF(Draft_Import!$D$2:'Draft_Import'!$D148,E$1),"")</f>
        <v/>
      </c>
      <c r="G148" t="str">
        <f>IF(Draft_Import!$D148=G$1,COUNTIF(Draft_Import!$D$2:'Draft_Import'!$D148,G$1),"")</f>
        <v/>
      </c>
      <c r="I148" t="str">
        <f>IF(Draft_Import!$D148=I$1,COUNTIF(Draft_Import!$D$2:'Draft_Import'!$D148,I$1),"")</f>
        <v/>
      </c>
      <c r="K148" t="str">
        <f>IF(Draft_Import!$D148=K$1,COUNTIF(Draft_Import!$D$2:'Draft_Import'!$D148,K$1),"")</f>
        <v/>
      </c>
      <c r="M148" t="str">
        <f>IF(Draft_Import!$D148=M$1,COUNTIF(Draft_Import!$D$2:'Draft_Import'!$D148,M$1),"")</f>
        <v/>
      </c>
      <c r="O148" t="str">
        <f>IF(Draft_Import!$D148=O$1,COUNTIF(Draft_Import!$D$2:'Draft_Import'!$D148,O$1),"")</f>
        <v/>
      </c>
      <c r="Q148" t="str">
        <f>IF(Draft_Import!$D148=Q$1,COUNTIF(Draft_Import!$D$2:'Draft_Import'!$D148,Q$1),"")</f>
        <v/>
      </c>
      <c r="S148" t="str">
        <f>IF(Draft_Import!$D148=S$1,COUNTIF(Draft_Import!$D$2:'Draft_Import'!$D148,S$1),"")</f>
        <v/>
      </c>
    </row>
    <row r="149" spans="1:19" x14ac:dyDescent="0.25">
      <c r="A149" t="str">
        <f>IF(Draft_Import!$D149=A$1,COUNTIF(Draft_Import!$D$2:'Draft_Import'!$D149,A$1),"")</f>
        <v/>
      </c>
      <c r="C149" t="str">
        <f>IF(Draft_Import!$D149=C$1,COUNTIF(Draft_Import!$D$2:'Draft_Import'!$D149,C$1),"")</f>
        <v/>
      </c>
      <c r="E149" t="str">
        <f>IF(Draft_Import!$D149=E$1,COUNTIF(Draft_Import!$D$2:'Draft_Import'!$D149,E$1),"")</f>
        <v/>
      </c>
      <c r="G149" t="str">
        <f>IF(Draft_Import!$D149=G$1,COUNTIF(Draft_Import!$D$2:'Draft_Import'!$D149,G$1),"")</f>
        <v/>
      </c>
      <c r="I149" t="str">
        <f>IF(Draft_Import!$D149=I$1,COUNTIF(Draft_Import!$D$2:'Draft_Import'!$D149,I$1),"")</f>
        <v/>
      </c>
      <c r="K149" t="str">
        <f>IF(Draft_Import!$D149=K$1,COUNTIF(Draft_Import!$D$2:'Draft_Import'!$D149,K$1),"")</f>
        <v/>
      </c>
      <c r="M149" t="str">
        <f>IF(Draft_Import!$D149=M$1,COUNTIF(Draft_Import!$D$2:'Draft_Import'!$D149,M$1),"")</f>
        <v/>
      </c>
      <c r="O149" t="str">
        <f>IF(Draft_Import!$D149=O$1,COUNTIF(Draft_Import!$D$2:'Draft_Import'!$D149,O$1),"")</f>
        <v/>
      </c>
      <c r="Q149" t="str">
        <f>IF(Draft_Import!$D149=Q$1,COUNTIF(Draft_Import!$D$2:'Draft_Import'!$D149,Q$1),"")</f>
        <v/>
      </c>
      <c r="S149" t="str">
        <f>IF(Draft_Import!$D149=S$1,COUNTIF(Draft_Import!$D$2:'Draft_Import'!$D149,S$1),"")</f>
        <v/>
      </c>
    </row>
    <row r="150" spans="1:19" x14ac:dyDescent="0.25">
      <c r="A150" t="str">
        <f>IF(Draft_Import!$D150=A$1,COUNTIF(Draft_Import!$D$2:'Draft_Import'!$D150,A$1),"")</f>
        <v/>
      </c>
      <c r="C150" t="str">
        <f>IF(Draft_Import!$D150=C$1,COUNTIF(Draft_Import!$D$2:'Draft_Import'!$D150,C$1),"")</f>
        <v/>
      </c>
      <c r="E150" t="str">
        <f>IF(Draft_Import!$D150=E$1,COUNTIF(Draft_Import!$D$2:'Draft_Import'!$D150,E$1),"")</f>
        <v/>
      </c>
      <c r="G150" t="str">
        <f>IF(Draft_Import!$D150=G$1,COUNTIF(Draft_Import!$D$2:'Draft_Import'!$D150,G$1),"")</f>
        <v/>
      </c>
      <c r="I150" t="str">
        <f>IF(Draft_Import!$D150=I$1,COUNTIF(Draft_Import!$D$2:'Draft_Import'!$D150,I$1),"")</f>
        <v/>
      </c>
      <c r="K150" t="str">
        <f>IF(Draft_Import!$D150=K$1,COUNTIF(Draft_Import!$D$2:'Draft_Import'!$D150,K$1),"")</f>
        <v/>
      </c>
      <c r="M150" t="str">
        <f>IF(Draft_Import!$D150=M$1,COUNTIF(Draft_Import!$D$2:'Draft_Import'!$D150,M$1),"")</f>
        <v/>
      </c>
      <c r="O150" t="str">
        <f>IF(Draft_Import!$D150=O$1,COUNTIF(Draft_Import!$D$2:'Draft_Import'!$D150,O$1),"")</f>
        <v/>
      </c>
      <c r="Q150" t="str">
        <f>IF(Draft_Import!$D150=Q$1,COUNTIF(Draft_Import!$D$2:'Draft_Import'!$D150,Q$1),"")</f>
        <v/>
      </c>
      <c r="S150" t="str">
        <f>IF(Draft_Import!$D150=S$1,COUNTIF(Draft_Import!$D$2:'Draft_Import'!$D150,S$1),"")</f>
        <v/>
      </c>
    </row>
    <row r="151" spans="1:19" x14ac:dyDescent="0.25">
      <c r="A151" t="str">
        <f>IF(Draft_Import!$D151=A$1,COUNTIF(Draft_Import!$D$2:'Draft_Import'!$D151,A$1),"")</f>
        <v/>
      </c>
      <c r="C151" t="str">
        <f>IF(Draft_Import!$D151=C$1,COUNTIF(Draft_Import!$D$2:'Draft_Import'!$D151,C$1),"")</f>
        <v/>
      </c>
      <c r="E151" t="str">
        <f>IF(Draft_Import!$D151=E$1,COUNTIF(Draft_Import!$D$2:'Draft_Import'!$D151,E$1),"")</f>
        <v/>
      </c>
      <c r="G151" t="str">
        <f>IF(Draft_Import!$D151=G$1,COUNTIF(Draft_Import!$D$2:'Draft_Import'!$D151,G$1),"")</f>
        <v/>
      </c>
      <c r="I151" t="str">
        <f>IF(Draft_Import!$D151=I$1,COUNTIF(Draft_Import!$D$2:'Draft_Import'!$D151,I$1),"")</f>
        <v/>
      </c>
      <c r="K151" t="str">
        <f>IF(Draft_Import!$D151=K$1,COUNTIF(Draft_Import!$D$2:'Draft_Import'!$D151,K$1),"")</f>
        <v/>
      </c>
      <c r="M151" t="str">
        <f>IF(Draft_Import!$D151=M$1,COUNTIF(Draft_Import!$D$2:'Draft_Import'!$D151,M$1),"")</f>
        <v/>
      </c>
      <c r="O151" t="str">
        <f>IF(Draft_Import!$D151=O$1,COUNTIF(Draft_Import!$D$2:'Draft_Import'!$D151,O$1),"")</f>
        <v/>
      </c>
      <c r="Q151" t="str">
        <f>IF(Draft_Import!$D151=Q$1,COUNTIF(Draft_Import!$D$2:'Draft_Import'!$D151,Q$1),"")</f>
        <v/>
      </c>
      <c r="S151" t="str">
        <f>IF(Draft_Import!$D151=S$1,COUNTIF(Draft_Import!$D$2:'Draft_Import'!$D151,S$1),"")</f>
        <v/>
      </c>
    </row>
    <row r="152" spans="1:19" x14ac:dyDescent="0.25">
      <c r="A152" t="str">
        <f>IF(Draft_Import!$D152=A$1,COUNTIF(Draft_Import!$D$2:'Draft_Import'!$D152,A$1),"")</f>
        <v/>
      </c>
      <c r="C152" t="str">
        <f>IF(Draft_Import!$D152=C$1,COUNTIF(Draft_Import!$D$2:'Draft_Import'!$D152,C$1),"")</f>
        <v/>
      </c>
      <c r="E152" t="str">
        <f>IF(Draft_Import!$D152=E$1,COUNTIF(Draft_Import!$D$2:'Draft_Import'!$D152,E$1),"")</f>
        <v/>
      </c>
      <c r="G152" t="str">
        <f>IF(Draft_Import!$D152=G$1,COUNTIF(Draft_Import!$D$2:'Draft_Import'!$D152,G$1),"")</f>
        <v/>
      </c>
      <c r="I152" t="str">
        <f>IF(Draft_Import!$D152=I$1,COUNTIF(Draft_Import!$D$2:'Draft_Import'!$D152,I$1),"")</f>
        <v/>
      </c>
      <c r="K152" t="str">
        <f>IF(Draft_Import!$D152=K$1,COUNTIF(Draft_Import!$D$2:'Draft_Import'!$D152,K$1),"")</f>
        <v/>
      </c>
      <c r="M152" t="str">
        <f>IF(Draft_Import!$D152=M$1,COUNTIF(Draft_Import!$D$2:'Draft_Import'!$D152,M$1),"")</f>
        <v/>
      </c>
      <c r="O152" t="str">
        <f>IF(Draft_Import!$D152=O$1,COUNTIF(Draft_Import!$D$2:'Draft_Import'!$D152,O$1),"")</f>
        <v/>
      </c>
      <c r="Q152" t="str">
        <f>IF(Draft_Import!$D152=Q$1,COUNTIF(Draft_Import!$D$2:'Draft_Import'!$D152,Q$1),"")</f>
        <v/>
      </c>
      <c r="S152" t="str">
        <f>IF(Draft_Import!$D152=S$1,COUNTIF(Draft_Import!$D$2:'Draft_Import'!$D152,S$1),"")</f>
        <v/>
      </c>
    </row>
    <row r="153" spans="1:19" x14ac:dyDescent="0.25">
      <c r="A153" t="str">
        <f>IF(Draft_Import!$D153=A$1,COUNTIF(Draft_Import!$D$2:'Draft_Import'!$D153,A$1),"")</f>
        <v/>
      </c>
      <c r="C153" t="str">
        <f>IF(Draft_Import!$D153=C$1,COUNTIF(Draft_Import!$D$2:'Draft_Import'!$D153,C$1),"")</f>
        <v/>
      </c>
      <c r="E153" t="str">
        <f>IF(Draft_Import!$D153=E$1,COUNTIF(Draft_Import!$D$2:'Draft_Import'!$D153,E$1),"")</f>
        <v/>
      </c>
      <c r="G153" t="str">
        <f>IF(Draft_Import!$D153=G$1,COUNTIF(Draft_Import!$D$2:'Draft_Import'!$D153,G$1),"")</f>
        <v/>
      </c>
      <c r="I153" t="str">
        <f>IF(Draft_Import!$D153=I$1,COUNTIF(Draft_Import!$D$2:'Draft_Import'!$D153,I$1),"")</f>
        <v/>
      </c>
      <c r="K153" t="str">
        <f>IF(Draft_Import!$D153=K$1,COUNTIF(Draft_Import!$D$2:'Draft_Import'!$D153,K$1),"")</f>
        <v/>
      </c>
      <c r="M153" t="str">
        <f>IF(Draft_Import!$D153=M$1,COUNTIF(Draft_Import!$D$2:'Draft_Import'!$D153,M$1),"")</f>
        <v/>
      </c>
      <c r="O153" t="str">
        <f>IF(Draft_Import!$D153=O$1,COUNTIF(Draft_Import!$D$2:'Draft_Import'!$D153,O$1),"")</f>
        <v/>
      </c>
      <c r="Q153" t="str">
        <f>IF(Draft_Import!$D153=Q$1,COUNTIF(Draft_Import!$D$2:'Draft_Import'!$D153,Q$1),"")</f>
        <v/>
      </c>
      <c r="S153" t="str">
        <f>IF(Draft_Import!$D153=S$1,COUNTIF(Draft_Import!$D$2:'Draft_Import'!$D153,S$1),"")</f>
        <v/>
      </c>
    </row>
    <row r="154" spans="1:19" x14ac:dyDescent="0.25">
      <c r="A154" t="str">
        <f>IF(Draft_Import!$D154=A$1,COUNTIF(Draft_Import!$D$2:'Draft_Import'!$D154,A$1),"")</f>
        <v/>
      </c>
      <c r="C154" t="str">
        <f>IF(Draft_Import!$D154=C$1,COUNTIF(Draft_Import!$D$2:'Draft_Import'!$D154,C$1),"")</f>
        <v/>
      </c>
      <c r="E154" t="str">
        <f>IF(Draft_Import!$D154=E$1,COUNTIF(Draft_Import!$D$2:'Draft_Import'!$D154,E$1),"")</f>
        <v/>
      </c>
      <c r="G154" t="str">
        <f>IF(Draft_Import!$D154=G$1,COUNTIF(Draft_Import!$D$2:'Draft_Import'!$D154,G$1),"")</f>
        <v/>
      </c>
      <c r="I154" t="str">
        <f>IF(Draft_Import!$D154=I$1,COUNTIF(Draft_Import!$D$2:'Draft_Import'!$D154,I$1),"")</f>
        <v/>
      </c>
      <c r="K154" t="str">
        <f>IF(Draft_Import!$D154=K$1,COUNTIF(Draft_Import!$D$2:'Draft_Import'!$D154,K$1),"")</f>
        <v/>
      </c>
      <c r="M154" t="str">
        <f>IF(Draft_Import!$D154=M$1,COUNTIF(Draft_Import!$D$2:'Draft_Import'!$D154,M$1),"")</f>
        <v/>
      </c>
      <c r="O154" t="str">
        <f>IF(Draft_Import!$D154=O$1,COUNTIF(Draft_Import!$D$2:'Draft_Import'!$D154,O$1),"")</f>
        <v/>
      </c>
      <c r="Q154" t="str">
        <f>IF(Draft_Import!$D154=Q$1,COUNTIF(Draft_Import!$D$2:'Draft_Import'!$D154,Q$1),"")</f>
        <v/>
      </c>
      <c r="S154" t="str">
        <f>IF(Draft_Import!$D154=S$1,COUNTIF(Draft_Import!$D$2:'Draft_Import'!$D154,S$1),"")</f>
        <v/>
      </c>
    </row>
    <row r="155" spans="1:19" x14ac:dyDescent="0.25">
      <c r="A155" t="str">
        <f>IF(Draft_Import!$D155=A$1,COUNTIF(Draft_Import!$D$2:'Draft_Import'!$D155,A$1),"")</f>
        <v/>
      </c>
      <c r="C155" t="str">
        <f>IF(Draft_Import!$D155=C$1,COUNTIF(Draft_Import!$D$2:'Draft_Import'!$D155,C$1),"")</f>
        <v/>
      </c>
      <c r="E155" t="str">
        <f>IF(Draft_Import!$D155=E$1,COUNTIF(Draft_Import!$D$2:'Draft_Import'!$D155,E$1),"")</f>
        <v/>
      </c>
      <c r="G155" t="str">
        <f>IF(Draft_Import!$D155=G$1,COUNTIF(Draft_Import!$D$2:'Draft_Import'!$D155,G$1),"")</f>
        <v/>
      </c>
      <c r="I155" t="str">
        <f>IF(Draft_Import!$D155=I$1,COUNTIF(Draft_Import!$D$2:'Draft_Import'!$D155,I$1),"")</f>
        <v/>
      </c>
      <c r="K155" t="str">
        <f>IF(Draft_Import!$D155=K$1,COUNTIF(Draft_Import!$D$2:'Draft_Import'!$D155,K$1),"")</f>
        <v/>
      </c>
      <c r="M155" t="str">
        <f>IF(Draft_Import!$D155=M$1,COUNTIF(Draft_Import!$D$2:'Draft_Import'!$D155,M$1),"")</f>
        <v/>
      </c>
      <c r="O155" t="str">
        <f>IF(Draft_Import!$D155=O$1,COUNTIF(Draft_Import!$D$2:'Draft_Import'!$D155,O$1),"")</f>
        <v/>
      </c>
      <c r="Q155" t="str">
        <f>IF(Draft_Import!$D155=Q$1,COUNTIF(Draft_Import!$D$2:'Draft_Import'!$D155,Q$1),"")</f>
        <v/>
      </c>
      <c r="S155" t="str">
        <f>IF(Draft_Import!$D155=S$1,COUNTIF(Draft_Import!$D$2:'Draft_Import'!$D155,S$1),"")</f>
        <v/>
      </c>
    </row>
    <row r="156" spans="1:19" x14ac:dyDescent="0.25">
      <c r="A156" t="str">
        <f>IF(Draft_Import!$D156=A$1,COUNTIF(Draft_Import!$D$2:'Draft_Import'!$D156,A$1),"")</f>
        <v/>
      </c>
      <c r="C156" t="str">
        <f>IF(Draft_Import!$D156=C$1,COUNTIF(Draft_Import!$D$2:'Draft_Import'!$D156,C$1),"")</f>
        <v/>
      </c>
      <c r="E156" t="str">
        <f>IF(Draft_Import!$D156=E$1,COUNTIF(Draft_Import!$D$2:'Draft_Import'!$D156,E$1),"")</f>
        <v/>
      </c>
      <c r="G156" t="str">
        <f>IF(Draft_Import!$D156=G$1,COUNTIF(Draft_Import!$D$2:'Draft_Import'!$D156,G$1),"")</f>
        <v/>
      </c>
      <c r="I156" t="str">
        <f>IF(Draft_Import!$D156=I$1,COUNTIF(Draft_Import!$D$2:'Draft_Import'!$D156,I$1),"")</f>
        <v/>
      </c>
      <c r="K156" t="str">
        <f>IF(Draft_Import!$D156=K$1,COUNTIF(Draft_Import!$D$2:'Draft_Import'!$D156,K$1),"")</f>
        <v/>
      </c>
      <c r="M156" t="str">
        <f>IF(Draft_Import!$D156=M$1,COUNTIF(Draft_Import!$D$2:'Draft_Import'!$D156,M$1),"")</f>
        <v/>
      </c>
      <c r="O156" t="str">
        <f>IF(Draft_Import!$D156=O$1,COUNTIF(Draft_Import!$D$2:'Draft_Import'!$D156,O$1),"")</f>
        <v/>
      </c>
      <c r="Q156" t="str">
        <f>IF(Draft_Import!$D156=Q$1,COUNTIF(Draft_Import!$D$2:'Draft_Import'!$D156,Q$1),"")</f>
        <v/>
      </c>
      <c r="S156" t="str">
        <f>IF(Draft_Import!$D156=S$1,COUNTIF(Draft_Import!$D$2:'Draft_Import'!$D156,S$1),"")</f>
        <v/>
      </c>
    </row>
    <row r="157" spans="1:19" x14ac:dyDescent="0.25">
      <c r="A157" t="str">
        <f>IF(Draft_Import!$D157=A$1,COUNTIF(Draft_Import!$D$2:'Draft_Import'!$D157,A$1),"")</f>
        <v/>
      </c>
      <c r="C157" t="str">
        <f>IF(Draft_Import!$D157=C$1,COUNTIF(Draft_Import!$D$2:'Draft_Import'!$D157,C$1),"")</f>
        <v/>
      </c>
      <c r="E157" t="str">
        <f>IF(Draft_Import!$D157=E$1,COUNTIF(Draft_Import!$D$2:'Draft_Import'!$D157,E$1),"")</f>
        <v/>
      </c>
      <c r="G157" t="str">
        <f>IF(Draft_Import!$D157=G$1,COUNTIF(Draft_Import!$D$2:'Draft_Import'!$D157,G$1),"")</f>
        <v/>
      </c>
      <c r="I157" t="str">
        <f>IF(Draft_Import!$D157=I$1,COUNTIF(Draft_Import!$D$2:'Draft_Import'!$D157,I$1),"")</f>
        <v/>
      </c>
      <c r="K157" t="str">
        <f>IF(Draft_Import!$D157=K$1,COUNTIF(Draft_Import!$D$2:'Draft_Import'!$D157,K$1),"")</f>
        <v/>
      </c>
      <c r="M157" t="str">
        <f>IF(Draft_Import!$D157=M$1,COUNTIF(Draft_Import!$D$2:'Draft_Import'!$D157,M$1),"")</f>
        <v/>
      </c>
      <c r="O157" t="str">
        <f>IF(Draft_Import!$D157=O$1,COUNTIF(Draft_Import!$D$2:'Draft_Import'!$D157,O$1),"")</f>
        <v/>
      </c>
      <c r="Q157" t="str">
        <f>IF(Draft_Import!$D157=Q$1,COUNTIF(Draft_Import!$D$2:'Draft_Import'!$D157,Q$1),"")</f>
        <v/>
      </c>
      <c r="S157" t="str">
        <f>IF(Draft_Import!$D157=S$1,COUNTIF(Draft_Import!$D$2:'Draft_Import'!$D157,S$1),"")</f>
        <v/>
      </c>
    </row>
    <row r="158" spans="1:19" x14ac:dyDescent="0.25">
      <c r="A158" t="str">
        <f>IF(Draft_Import!$D158=A$1,COUNTIF(Draft_Import!$D$2:'Draft_Import'!$D158,A$1),"")</f>
        <v/>
      </c>
      <c r="C158" t="str">
        <f>IF(Draft_Import!$D158=C$1,COUNTIF(Draft_Import!$D$2:'Draft_Import'!$D158,C$1),"")</f>
        <v/>
      </c>
      <c r="E158" t="str">
        <f>IF(Draft_Import!$D158=E$1,COUNTIF(Draft_Import!$D$2:'Draft_Import'!$D158,E$1),"")</f>
        <v/>
      </c>
      <c r="G158" t="str">
        <f>IF(Draft_Import!$D158=G$1,COUNTIF(Draft_Import!$D$2:'Draft_Import'!$D158,G$1),"")</f>
        <v/>
      </c>
      <c r="I158" t="str">
        <f>IF(Draft_Import!$D158=I$1,COUNTIF(Draft_Import!$D$2:'Draft_Import'!$D158,I$1),"")</f>
        <v/>
      </c>
      <c r="K158" t="str">
        <f>IF(Draft_Import!$D158=K$1,COUNTIF(Draft_Import!$D$2:'Draft_Import'!$D158,K$1),"")</f>
        <v/>
      </c>
      <c r="M158" t="str">
        <f>IF(Draft_Import!$D158=M$1,COUNTIF(Draft_Import!$D$2:'Draft_Import'!$D158,M$1),"")</f>
        <v/>
      </c>
      <c r="O158" t="str">
        <f>IF(Draft_Import!$D158=O$1,COUNTIF(Draft_Import!$D$2:'Draft_Import'!$D158,O$1),"")</f>
        <v/>
      </c>
      <c r="Q158" t="str">
        <f>IF(Draft_Import!$D158=Q$1,COUNTIF(Draft_Import!$D$2:'Draft_Import'!$D158,Q$1),"")</f>
        <v/>
      </c>
      <c r="S158" t="str">
        <f>IF(Draft_Import!$D158=S$1,COUNTIF(Draft_Import!$D$2:'Draft_Import'!$D158,S$1),"")</f>
        <v/>
      </c>
    </row>
    <row r="159" spans="1:19" x14ac:dyDescent="0.25">
      <c r="A159" t="str">
        <f>IF(Draft_Import!$D159=A$1,COUNTIF(Draft_Import!$D$2:'Draft_Import'!$D159,A$1),"")</f>
        <v/>
      </c>
      <c r="C159" t="str">
        <f>IF(Draft_Import!$D159=C$1,COUNTIF(Draft_Import!$D$2:'Draft_Import'!$D159,C$1),"")</f>
        <v/>
      </c>
      <c r="E159" t="str">
        <f>IF(Draft_Import!$D159=E$1,COUNTIF(Draft_Import!$D$2:'Draft_Import'!$D159,E$1),"")</f>
        <v/>
      </c>
      <c r="G159" t="str">
        <f>IF(Draft_Import!$D159=G$1,COUNTIF(Draft_Import!$D$2:'Draft_Import'!$D159,G$1),"")</f>
        <v/>
      </c>
      <c r="I159" t="str">
        <f>IF(Draft_Import!$D159=I$1,COUNTIF(Draft_Import!$D$2:'Draft_Import'!$D159,I$1),"")</f>
        <v/>
      </c>
      <c r="K159" t="str">
        <f>IF(Draft_Import!$D159=K$1,COUNTIF(Draft_Import!$D$2:'Draft_Import'!$D159,K$1),"")</f>
        <v/>
      </c>
      <c r="M159" t="str">
        <f>IF(Draft_Import!$D159=M$1,COUNTIF(Draft_Import!$D$2:'Draft_Import'!$D159,M$1),"")</f>
        <v/>
      </c>
      <c r="O159" t="str">
        <f>IF(Draft_Import!$D159=O$1,COUNTIF(Draft_Import!$D$2:'Draft_Import'!$D159,O$1),"")</f>
        <v/>
      </c>
      <c r="Q159" t="str">
        <f>IF(Draft_Import!$D159=Q$1,COUNTIF(Draft_Import!$D$2:'Draft_Import'!$D159,Q$1),"")</f>
        <v/>
      </c>
      <c r="S159" t="str">
        <f>IF(Draft_Import!$D159=S$1,COUNTIF(Draft_Import!$D$2:'Draft_Import'!$D159,S$1),"")</f>
        <v/>
      </c>
    </row>
    <row r="160" spans="1:19" x14ac:dyDescent="0.25">
      <c r="A160" t="str">
        <f>IF(Draft_Import!$D160=A$1,COUNTIF(Draft_Import!$D$2:'Draft_Import'!$D160,A$1),"")</f>
        <v/>
      </c>
      <c r="C160" t="str">
        <f>IF(Draft_Import!$D160=C$1,COUNTIF(Draft_Import!$D$2:'Draft_Import'!$D160,C$1),"")</f>
        <v/>
      </c>
      <c r="E160" t="str">
        <f>IF(Draft_Import!$D160=E$1,COUNTIF(Draft_Import!$D$2:'Draft_Import'!$D160,E$1),"")</f>
        <v/>
      </c>
      <c r="G160" t="str">
        <f>IF(Draft_Import!$D160=G$1,COUNTIF(Draft_Import!$D$2:'Draft_Import'!$D160,G$1),"")</f>
        <v/>
      </c>
      <c r="I160" t="str">
        <f>IF(Draft_Import!$D160=I$1,COUNTIF(Draft_Import!$D$2:'Draft_Import'!$D160,I$1),"")</f>
        <v/>
      </c>
      <c r="K160" t="str">
        <f>IF(Draft_Import!$D160=K$1,COUNTIF(Draft_Import!$D$2:'Draft_Import'!$D160,K$1),"")</f>
        <v/>
      </c>
      <c r="M160" t="str">
        <f>IF(Draft_Import!$D160=M$1,COUNTIF(Draft_Import!$D$2:'Draft_Import'!$D160,M$1),"")</f>
        <v/>
      </c>
      <c r="O160" t="str">
        <f>IF(Draft_Import!$D160=O$1,COUNTIF(Draft_Import!$D$2:'Draft_Import'!$D160,O$1),"")</f>
        <v/>
      </c>
      <c r="Q160" t="str">
        <f>IF(Draft_Import!$D160=Q$1,COUNTIF(Draft_Import!$D$2:'Draft_Import'!$D160,Q$1),"")</f>
        <v/>
      </c>
      <c r="S160" t="str">
        <f>IF(Draft_Import!$D160=S$1,COUNTIF(Draft_Import!$D$2:'Draft_Import'!$D160,S$1),"")</f>
        <v/>
      </c>
    </row>
    <row r="161" spans="1:19" x14ac:dyDescent="0.25">
      <c r="A161" t="str">
        <f>IF(Draft_Import!$D161=A$1,COUNTIF(Draft_Import!$D$2:'Draft_Import'!$D161,A$1),"")</f>
        <v/>
      </c>
      <c r="C161" t="str">
        <f>IF(Draft_Import!$D161=C$1,COUNTIF(Draft_Import!$D$2:'Draft_Import'!$D161,C$1),"")</f>
        <v/>
      </c>
      <c r="E161" t="str">
        <f>IF(Draft_Import!$D161=E$1,COUNTIF(Draft_Import!$D$2:'Draft_Import'!$D161,E$1),"")</f>
        <v/>
      </c>
      <c r="G161" t="str">
        <f>IF(Draft_Import!$D161=G$1,COUNTIF(Draft_Import!$D$2:'Draft_Import'!$D161,G$1),"")</f>
        <v/>
      </c>
      <c r="I161" t="str">
        <f>IF(Draft_Import!$D161=I$1,COUNTIF(Draft_Import!$D$2:'Draft_Import'!$D161,I$1),"")</f>
        <v/>
      </c>
      <c r="K161" t="str">
        <f>IF(Draft_Import!$D161=K$1,COUNTIF(Draft_Import!$D$2:'Draft_Import'!$D161,K$1),"")</f>
        <v/>
      </c>
      <c r="M161" t="str">
        <f>IF(Draft_Import!$D161=M$1,COUNTIF(Draft_Import!$D$2:'Draft_Import'!$D161,M$1),"")</f>
        <v/>
      </c>
      <c r="O161" t="str">
        <f>IF(Draft_Import!$D161=O$1,COUNTIF(Draft_Import!$D$2:'Draft_Import'!$D161,O$1),"")</f>
        <v/>
      </c>
      <c r="Q161" t="str">
        <f>IF(Draft_Import!$D161=Q$1,COUNTIF(Draft_Import!$D$2:'Draft_Import'!$D161,Q$1),"")</f>
        <v/>
      </c>
      <c r="S161" t="str">
        <f>IF(Draft_Import!$D161=S$1,COUNTIF(Draft_Import!$D$2:'Draft_Import'!$D161,S$1),"")</f>
        <v/>
      </c>
    </row>
    <row r="162" spans="1:19" x14ac:dyDescent="0.25">
      <c r="A162" t="str">
        <f>IF(Draft_Import!$D162=A$1,COUNTIF(Draft_Import!$D$2:'Draft_Import'!$D162,A$1),"")</f>
        <v/>
      </c>
      <c r="C162" t="str">
        <f>IF(Draft_Import!$D162=C$1,COUNTIF(Draft_Import!$D$2:'Draft_Import'!$D162,C$1),"")</f>
        <v/>
      </c>
      <c r="E162" t="str">
        <f>IF(Draft_Import!$D162=E$1,COUNTIF(Draft_Import!$D$2:'Draft_Import'!$D162,E$1),"")</f>
        <v/>
      </c>
      <c r="G162" t="str">
        <f>IF(Draft_Import!$D162=G$1,COUNTIF(Draft_Import!$D$2:'Draft_Import'!$D162,G$1),"")</f>
        <v/>
      </c>
      <c r="I162" t="str">
        <f>IF(Draft_Import!$D162=I$1,COUNTIF(Draft_Import!$D$2:'Draft_Import'!$D162,I$1),"")</f>
        <v/>
      </c>
      <c r="K162" t="str">
        <f>IF(Draft_Import!$D162=K$1,COUNTIF(Draft_Import!$D$2:'Draft_Import'!$D162,K$1),"")</f>
        <v/>
      </c>
      <c r="M162" t="str">
        <f>IF(Draft_Import!$D162=M$1,COUNTIF(Draft_Import!$D$2:'Draft_Import'!$D162,M$1),"")</f>
        <v/>
      </c>
      <c r="O162" t="str">
        <f>IF(Draft_Import!$D162=O$1,COUNTIF(Draft_Import!$D$2:'Draft_Import'!$D162,O$1),"")</f>
        <v/>
      </c>
      <c r="Q162" t="str">
        <f>IF(Draft_Import!$D162=Q$1,COUNTIF(Draft_Import!$D$2:'Draft_Import'!$D162,Q$1),"")</f>
        <v/>
      </c>
      <c r="S162" t="str">
        <f>IF(Draft_Import!$D162=S$1,COUNTIF(Draft_Import!$D$2:'Draft_Import'!$D162,S$1),"")</f>
        <v/>
      </c>
    </row>
    <row r="163" spans="1:19" x14ac:dyDescent="0.25">
      <c r="A163" t="str">
        <f>IF(Draft_Import!$D163=A$1,COUNTIF(Draft_Import!$D$2:'Draft_Import'!$D163,A$1),"")</f>
        <v/>
      </c>
      <c r="C163" t="str">
        <f>IF(Draft_Import!$D163=C$1,COUNTIF(Draft_Import!$D$2:'Draft_Import'!$D163,C$1),"")</f>
        <v/>
      </c>
      <c r="E163" t="str">
        <f>IF(Draft_Import!$D163=E$1,COUNTIF(Draft_Import!$D$2:'Draft_Import'!$D163,E$1),"")</f>
        <v/>
      </c>
      <c r="G163" t="str">
        <f>IF(Draft_Import!$D163=G$1,COUNTIF(Draft_Import!$D$2:'Draft_Import'!$D163,G$1),"")</f>
        <v/>
      </c>
      <c r="I163" t="str">
        <f>IF(Draft_Import!$D163=I$1,COUNTIF(Draft_Import!$D$2:'Draft_Import'!$D163,I$1),"")</f>
        <v/>
      </c>
      <c r="K163" t="str">
        <f>IF(Draft_Import!$D163=K$1,COUNTIF(Draft_Import!$D$2:'Draft_Import'!$D163,K$1),"")</f>
        <v/>
      </c>
      <c r="M163" t="str">
        <f>IF(Draft_Import!$D163=M$1,COUNTIF(Draft_Import!$D$2:'Draft_Import'!$D163,M$1),"")</f>
        <v/>
      </c>
      <c r="O163" t="str">
        <f>IF(Draft_Import!$D163=O$1,COUNTIF(Draft_Import!$D$2:'Draft_Import'!$D163,O$1),"")</f>
        <v/>
      </c>
      <c r="Q163" t="str">
        <f>IF(Draft_Import!$D163=Q$1,COUNTIF(Draft_Import!$D$2:'Draft_Import'!$D163,Q$1),"")</f>
        <v/>
      </c>
      <c r="S163" t="str">
        <f>IF(Draft_Import!$D163=S$1,COUNTIF(Draft_Import!$D$2:'Draft_Import'!$D163,S$1),"")</f>
        <v/>
      </c>
    </row>
    <row r="164" spans="1:19" x14ac:dyDescent="0.25">
      <c r="A164" t="str">
        <f>IF(Draft_Import!$D164=A$1,COUNTIF(Draft_Import!$D$2:'Draft_Import'!$D164,A$1),"")</f>
        <v/>
      </c>
      <c r="C164" t="str">
        <f>IF(Draft_Import!$D164=C$1,COUNTIF(Draft_Import!$D$2:'Draft_Import'!$D164,C$1),"")</f>
        <v/>
      </c>
      <c r="E164" t="str">
        <f>IF(Draft_Import!$D164=E$1,COUNTIF(Draft_Import!$D$2:'Draft_Import'!$D164,E$1),"")</f>
        <v/>
      </c>
      <c r="G164" t="str">
        <f>IF(Draft_Import!$D164=G$1,COUNTIF(Draft_Import!$D$2:'Draft_Import'!$D164,G$1),"")</f>
        <v/>
      </c>
      <c r="I164" t="str">
        <f>IF(Draft_Import!$D164=I$1,COUNTIF(Draft_Import!$D$2:'Draft_Import'!$D164,I$1),"")</f>
        <v/>
      </c>
      <c r="K164" t="str">
        <f>IF(Draft_Import!$D164=K$1,COUNTIF(Draft_Import!$D$2:'Draft_Import'!$D164,K$1),"")</f>
        <v/>
      </c>
      <c r="M164" t="str">
        <f>IF(Draft_Import!$D164=M$1,COUNTIF(Draft_Import!$D$2:'Draft_Import'!$D164,M$1),"")</f>
        <v/>
      </c>
      <c r="O164" t="str">
        <f>IF(Draft_Import!$D164=O$1,COUNTIF(Draft_Import!$D$2:'Draft_Import'!$D164,O$1),"")</f>
        <v/>
      </c>
      <c r="Q164" t="str">
        <f>IF(Draft_Import!$D164=Q$1,COUNTIF(Draft_Import!$D$2:'Draft_Import'!$D164,Q$1),"")</f>
        <v/>
      </c>
      <c r="S164" t="str">
        <f>IF(Draft_Import!$D164=S$1,COUNTIF(Draft_Import!$D$2:'Draft_Import'!$D164,S$1),"")</f>
        <v/>
      </c>
    </row>
    <row r="165" spans="1:19" x14ac:dyDescent="0.25">
      <c r="A165" t="str">
        <f>IF(Draft_Import!$D165=A$1,COUNTIF(Draft_Import!$D$2:'Draft_Import'!$D165,A$1),"")</f>
        <v/>
      </c>
      <c r="C165" t="str">
        <f>IF(Draft_Import!$D165=C$1,COUNTIF(Draft_Import!$D$2:'Draft_Import'!$D165,C$1),"")</f>
        <v/>
      </c>
      <c r="E165" t="str">
        <f>IF(Draft_Import!$D165=E$1,COUNTIF(Draft_Import!$D$2:'Draft_Import'!$D165,E$1),"")</f>
        <v/>
      </c>
      <c r="G165" t="str">
        <f>IF(Draft_Import!$D165=G$1,COUNTIF(Draft_Import!$D$2:'Draft_Import'!$D165,G$1),"")</f>
        <v/>
      </c>
      <c r="I165" t="str">
        <f>IF(Draft_Import!$D165=I$1,COUNTIF(Draft_Import!$D$2:'Draft_Import'!$D165,I$1),"")</f>
        <v/>
      </c>
      <c r="K165" t="str">
        <f>IF(Draft_Import!$D165=K$1,COUNTIF(Draft_Import!$D$2:'Draft_Import'!$D165,K$1),"")</f>
        <v/>
      </c>
      <c r="M165" t="str">
        <f>IF(Draft_Import!$D165=M$1,COUNTIF(Draft_Import!$D$2:'Draft_Import'!$D165,M$1),"")</f>
        <v/>
      </c>
      <c r="O165" t="str">
        <f>IF(Draft_Import!$D165=O$1,COUNTIF(Draft_Import!$D$2:'Draft_Import'!$D165,O$1),"")</f>
        <v/>
      </c>
      <c r="Q165" t="str">
        <f>IF(Draft_Import!$D165=Q$1,COUNTIF(Draft_Import!$D$2:'Draft_Import'!$D165,Q$1),"")</f>
        <v/>
      </c>
      <c r="S165" t="str">
        <f>IF(Draft_Import!$D165=S$1,COUNTIF(Draft_Import!$D$2:'Draft_Import'!$D165,S$1),"")</f>
        <v/>
      </c>
    </row>
    <row r="166" spans="1:19" x14ac:dyDescent="0.25">
      <c r="A166" t="str">
        <f>IF(Draft_Import!$D166=A$1,COUNTIF(Draft_Import!$D$2:'Draft_Import'!$D166,A$1),"")</f>
        <v/>
      </c>
      <c r="C166" t="str">
        <f>IF(Draft_Import!$D166=C$1,COUNTIF(Draft_Import!$D$2:'Draft_Import'!$D166,C$1),"")</f>
        <v/>
      </c>
      <c r="E166" t="str">
        <f>IF(Draft_Import!$D166=E$1,COUNTIF(Draft_Import!$D$2:'Draft_Import'!$D166,E$1),"")</f>
        <v/>
      </c>
      <c r="G166" t="str">
        <f>IF(Draft_Import!$D166=G$1,COUNTIF(Draft_Import!$D$2:'Draft_Import'!$D166,G$1),"")</f>
        <v/>
      </c>
      <c r="I166" t="str">
        <f>IF(Draft_Import!$D166=I$1,COUNTIF(Draft_Import!$D$2:'Draft_Import'!$D166,I$1),"")</f>
        <v/>
      </c>
      <c r="K166" t="str">
        <f>IF(Draft_Import!$D166=K$1,COUNTIF(Draft_Import!$D$2:'Draft_Import'!$D166,K$1),"")</f>
        <v/>
      </c>
      <c r="M166" t="str">
        <f>IF(Draft_Import!$D166=M$1,COUNTIF(Draft_Import!$D$2:'Draft_Import'!$D166,M$1),"")</f>
        <v/>
      </c>
      <c r="O166" t="str">
        <f>IF(Draft_Import!$D166=O$1,COUNTIF(Draft_Import!$D$2:'Draft_Import'!$D166,O$1),"")</f>
        <v/>
      </c>
      <c r="Q166" t="str">
        <f>IF(Draft_Import!$D166=Q$1,COUNTIF(Draft_Import!$D$2:'Draft_Import'!$D166,Q$1),"")</f>
        <v/>
      </c>
      <c r="S166" t="str">
        <f>IF(Draft_Import!$D166=S$1,COUNTIF(Draft_Import!$D$2:'Draft_Import'!$D166,S$1),"")</f>
        <v/>
      </c>
    </row>
    <row r="167" spans="1:19" x14ac:dyDescent="0.25">
      <c r="A167" t="str">
        <f>IF(Draft_Import!$D167=A$1,COUNTIF(Draft_Import!$D$2:'Draft_Import'!$D167,A$1),"")</f>
        <v/>
      </c>
      <c r="C167" t="str">
        <f>IF(Draft_Import!$D167=C$1,COUNTIF(Draft_Import!$D$2:'Draft_Import'!$D167,C$1),"")</f>
        <v/>
      </c>
      <c r="E167" t="str">
        <f>IF(Draft_Import!$D167=E$1,COUNTIF(Draft_Import!$D$2:'Draft_Import'!$D167,E$1),"")</f>
        <v/>
      </c>
      <c r="G167" t="str">
        <f>IF(Draft_Import!$D167=G$1,COUNTIF(Draft_Import!$D$2:'Draft_Import'!$D167,G$1),"")</f>
        <v/>
      </c>
      <c r="I167" t="str">
        <f>IF(Draft_Import!$D167=I$1,COUNTIF(Draft_Import!$D$2:'Draft_Import'!$D167,I$1),"")</f>
        <v/>
      </c>
      <c r="K167" t="str">
        <f>IF(Draft_Import!$D167=K$1,COUNTIF(Draft_Import!$D$2:'Draft_Import'!$D167,K$1),"")</f>
        <v/>
      </c>
      <c r="M167" t="str">
        <f>IF(Draft_Import!$D167=M$1,COUNTIF(Draft_Import!$D$2:'Draft_Import'!$D167,M$1),"")</f>
        <v/>
      </c>
      <c r="O167" t="str">
        <f>IF(Draft_Import!$D167=O$1,COUNTIF(Draft_Import!$D$2:'Draft_Import'!$D167,O$1),"")</f>
        <v/>
      </c>
      <c r="Q167" t="str">
        <f>IF(Draft_Import!$D167=Q$1,COUNTIF(Draft_Import!$D$2:'Draft_Import'!$D167,Q$1),"")</f>
        <v/>
      </c>
      <c r="S167" t="str">
        <f>IF(Draft_Import!$D167=S$1,COUNTIF(Draft_Import!$D$2:'Draft_Import'!$D167,S$1),"")</f>
        <v/>
      </c>
    </row>
    <row r="168" spans="1:19" x14ac:dyDescent="0.25">
      <c r="A168" t="str">
        <f>IF(Draft_Import!$D168=A$1,COUNTIF(Draft_Import!$D$2:'Draft_Import'!$D168,A$1),"")</f>
        <v/>
      </c>
      <c r="C168" t="str">
        <f>IF(Draft_Import!$D168=C$1,COUNTIF(Draft_Import!$D$2:'Draft_Import'!$D168,C$1),"")</f>
        <v/>
      </c>
      <c r="E168" t="str">
        <f>IF(Draft_Import!$D168=E$1,COUNTIF(Draft_Import!$D$2:'Draft_Import'!$D168,E$1),"")</f>
        <v/>
      </c>
      <c r="G168" t="str">
        <f>IF(Draft_Import!$D168=G$1,COUNTIF(Draft_Import!$D$2:'Draft_Import'!$D168,G$1),"")</f>
        <v/>
      </c>
      <c r="I168" t="str">
        <f>IF(Draft_Import!$D168=I$1,COUNTIF(Draft_Import!$D$2:'Draft_Import'!$D168,I$1),"")</f>
        <v/>
      </c>
      <c r="K168" t="str">
        <f>IF(Draft_Import!$D168=K$1,COUNTIF(Draft_Import!$D$2:'Draft_Import'!$D168,K$1),"")</f>
        <v/>
      </c>
      <c r="M168" t="str">
        <f>IF(Draft_Import!$D168=M$1,COUNTIF(Draft_Import!$D$2:'Draft_Import'!$D168,M$1),"")</f>
        <v/>
      </c>
      <c r="O168" t="str">
        <f>IF(Draft_Import!$D168=O$1,COUNTIF(Draft_Import!$D$2:'Draft_Import'!$D168,O$1),"")</f>
        <v/>
      </c>
      <c r="Q168" t="str">
        <f>IF(Draft_Import!$D168=Q$1,COUNTIF(Draft_Import!$D$2:'Draft_Import'!$D168,Q$1),"")</f>
        <v/>
      </c>
      <c r="S168" t="str">
        <f>IF(Draft_Import!$D168=S$1,COUNTIF(Draft_Import!$D$2:'Draft_Import'!$D168,S$1),"")</f>
        <v/>
      </c>
    </row>
    <row r="169" spans="1:19" x14ac:dyDescent="0.25">
      <c r="A169" t="str">
        <f>IF(Draft_Import!$D169=A$1,COUNTIF(Draft_Import!$D$2:'Draft_Import'!$D169,A$1),"")</f>
        <v/>
      </c>
      <c r="C169" t="str">
        <f>IF(Draft_Import!$D169=C$1,COUNTIF(Draft_Import!$D$2:'Draft_Import'!$D169,C$1),"")</f>
        <v/>
      </c>
      <c r="E169" t="str">
        <f>IF(Draft_Import!$D169=E$1,COUNTIF(Draft_Import!$D$2:'Draft_Import'!$D169,E$1),"")</f>
        <v/>
      </c>
      <c r="G169" t="str">
        <f>IF(Draft_Import!$D169=G$1,COUNTIF(Draft_Import!$D$2:'Draft_Import'!$D169,G$1),"")</f>
        <v/>
      </c>
      <c r="I169" t="str">
        <f>IF(Draft_Import!$D169=I$1,COUNTIF(Draft_Import!$D$2:'Draft_Import'!$D169,I$1),"")</f>
        <v/>
      </c>
      <c r="K169" t="str">
        <f>IF(Draft_Import!$D169=K$1,COUNTIF(Draft_Import!$D$2:'Draft_Import'!$D169,K$1),"")</f>
        <v/>
      </c>
      <c r="M169" t="str">
        <f>IF(Draft_Import!$D169=M$1,COUNTIF(Draft_Import!$D$2:'Draft_Import'!$D169,M$1),"")</f>
        <v/>
      </c>
      <c r="O169" t="str">
        <f>IF(Draft_Import!$D169=O$1,COUNTIF(Draft_Import!$D$2:'Draft_Import'!$D169,O$1),"")</f>
        <v/>
      </c>
      <c r="Q169" t="str">
        <f>IF(Draft_Import!$D169=Q$1,COUNTIF(Draft_Import!$D$2:'Draft_Import'!$D169,Q$1),"")</f>
        <v/>
      </c>
      <c r="S169" t="str">
        <f>IF(Draft_Import!$D169=S$1,COUNTIF(Draft_Import!$D$2:'Draft_Import'!$D169,S$1),"")</f>
        <v/>
      </c>
    </row>
    <row r="170" spans="1:19" x14ac:dyDescent="0.25">
      <c r="A170" t="str">
        <f>IF(Draft_Import!$D170=A$1,COUNTIF(Draft_Import!$D$2:'Draft_Import'!$D170,A$1),"")</f>
        <v/>
      </c>
      <c r="C170" t="str">
        <f>IF(Draft_Import!$D170=C$1,COUNTIF(Draft_Import!$D$2:'Draft_Import'!$D170,C$1),"")</f>
        <v/>
      </c>
      <c r="E170" t="str">
        <f>IF(Draft_Import!$D170=E$1,COUNTIF(Draft_Import!$D$2:'Draft_Import'!$D170,E$1),"")</f>
        <v/>
      </c>
      <c r="G170" t="str">
        <f>IF(Draft_Import!$D170=G$1,COUNTIF(Draft_Import!$D$2:'Draft_Import'!$D170,G$1),"")</f>
        <v/>
      </c>
      <c r="I170" t="str">
        <f>IF(Draft_Import!$D170=I$1,COUNTIF(Draft_Import!$D$2:'Draft_Import'!$D170,I$1),"")</f>
        <v/>
      </c>
      <c r="K170" t="str">
        <f>IF(Draft_Import!$D170=K$1,COUNTIF(Draft_Import!$D$2:'Draft_Import'!$D170,K$1),"")</f>
        <v/>
      </c>
      <c r="M170" t="str">
        <f>IF(Draft_Import!$D170=M$1,COUNTIF(Draft_Import!$D$2:'Draft_Import'!$D170,M$1),"")</f>
        <v/>
      </c>
      <c r="O170" t="str">
        <f>IF(Draft_Import!$D170=O$1,COUNTIF(Draft_Import!$D$2:'Draft_Import'!$D170,O$1),"")</f>
        <v/>
      </c>
      <c r="Q170" t="str">
        <f>IF(Draft_Import!$D170=Q$1,COUNTIF(Draft_Import!$D$2:'Draft_Import'!$D170,Q$1),"")</f>
        <v/>
      </c>
      <c r="S170" t="str">
        <f>IF(Draft_Import!$D170=S$1,COUNTIF(Draft_Import!$D$2:'Draft_Import'!$D170,S$1),"")</f>
        <v/>
      </c>
    </row>
    <row r="171" spans="1:19" x14ac:dyDescent="0.25">
      <c r="A171" t="str">
        <f>IF(Draft_Import!$D171=A$1,COUNTIF(Draft_Import!$D$2:'Draft_Import'!$D171,A$1),"")</f>
        <v/>
      </c>
      <c r="C171" t="str">
        <f>IF(Draft_Import!$D171=C$1,COUNTIF(Draft_Import!$D$2:'Draft_Import'!$D171,C$1),"")</f>
        <v/>
      </c>
      <c r="E171" t="str">
        <f>IF(Draft_Import!$D171=E$1,COUNTIF(Draft_Import!$D$2:'Draft_Import'!$D171,E$1),"")</f>
        <v/>
      </c>
      <c r="G171" t="str">
        <f>IF(Draft_Import!$D171=G$1,COUNTIF(Draft_Import!$D$2:'Draft_Import'!$D171,G$1),"")</f>
        <v/>
      </c>
      <c r="I171" t="str">
        <f>IF(Draft_Import!$D171=I$1,COUNTIF(Draft_Import!$D$2:'Draft_Import'!$D171,I$1),"")</f>
        <v/>
      </c>
      <c r="K171" t="str">
        <f>IF(Draft_Import!$D171=K$1,COUNTIF(Draft_Import!$D$2:'Draft_Import'!$D171,K$1),"")</f>
        <v/>
      </c>
      <c r="M171" t="str">
        <f>IF(Draft_Import!$D171=M$1,COUNTIF(Draft_Import!$D$2:'Draft_Import'!$D171,M$1),"")</f>
        <v/>
      </c>
      <c r="O171" t="str">
        <f>IF(Draft_Import!$D171=O$1,COUNTIF(Draft_Import!$D$2:'Draft_Import'!$D171,O$1),"")</f>
        <v/>
      </c>
      <c r="Q171" t="str">
        <f>IF(Draft_Import!$D171=Q$1,COUNTIF(Draft_Import!$D$2:'Draft_Import'!$D171,Q$1),"")</f>
        <v/>
      </c>
      <c r="S171" t="str">
        <f>IF(Draft_Import!$D171=S$1,COUNTIF(Draft_Import!$D$2:'Draft_Import'!$D171,S$1),"")</f>
        <v/>
      </c>
    </row>
    <row r="172" spans="1:19" x14ac:dyDescent="0.25">
      <c r="A172" t="str">
        <f>IF(Draft_Import!$D172=A$1,COUNTIF(Draft_Import!$D$2:'Draft_Import'!$D172,A$1),"")</f>
        <v/>
      </c>
      <c r="C172" t="str">
        <f>IF(Draft_Import!$D172=C$1,COUNTIF(Draft_Import!$D$2:'Draft_Import'!$D172,C$1),"")</f>
        <v/>
      </c>
      <c r="E172" t="str">
        <f>IF(Draft_Import!$D172=E$1,COUNTIF(Draft_Import!$D$2:'Draft_Import'!$D172,E$1),"")</f>
        <v/>
      </c>
      <c r="G172" t="str">
        <f>IF(Draft_Import!$D172=G$1,COUNTIF(Draft_Import!$D$2:'Draft_Import'!$D172,G$1),"")</f>
        <v/>
      </c>
      <c r="I172" t="str">
        <f>IF(Draft_Import!$D172=I$1,COUNTIF(Draft_Import!$D$2:'Draft_Import'!$D172,I$1),"")</f>
        <v/>
      </c>
      <c r="K172" t="str">
        <f>IF(Draft_Import!$D172=K$1,COUNTIF(Draft_Import!$D$2:'Draft_Import'!$D172,K$1),"")</f>
        <v/>
      </c>
      <c r="M172" t="str">
        <f>IF(Draft_Import!$D172=M$1,COUNTIF(Draft_Import!$D$2:'Draft_Import'!$D172,M$1),"")</f>
        <v/>
      </c>
      <c r="O172" t="str">
        <f>IF(Draft_Import!$D172=O$1,COUNTIF(Draft_Import!$D$2:'Draft_Import'!$D172,O$1),"")</f>
        <v/>
      </c>
      <c r="Q172" t="str">
        <f>IF(Draft_Import!$D172=Q$1,COUNTIF(Draft_Import!$D$2:'Draft_Import'!$D172,Q$1),"")</f>
        <v/>
      </c>
      <c r="S172" t="str">
        <f>IF(Draft_Import!$D172=S$1,COUNTIF(Draft_Import!$D$2:'Draft_Import'!$D172,S$1),"")</f>
        <v/>
      </c>
    </row>
    <row r="173" spans="1:19" x14ac:dyDescent="0.25">
      <c r="A173" t="str">
        <f>IF(Draft_Import!$D173=A$1,COUNTIF(Draft_Import!$D$2:'Draft_Import'!$D173,A$1),"")</f>
        <v/>
      </c>
      <c r="C173" t="str">
        <f>IF(Draft_Import!$D173=C$1,COUNTIF(Draft_Import!$D$2:'Draft_Import'!$D173,C$1),"")</f>
        <v/>
      </c>
      <c r="E173" t="str">
        <f>IF(Draft_Import!$D173=E$1,COUNTIF(Draft_Import!$D$2:'Draft_Import'!$D173,E$1),"")</f>
        <v/>
      </c>
      <c r="G173" t="str">
        <f>IF(Draft_Import!$D173=G$1,COUNTIF(Draft_Import!$D$2:'Draft_Import'!$D173,G$1),"")</f>
        <v/>
      </c>
      <c r="I173" t="str">
        <f>IF(Draft_Import!$D173=I$1,COUNTIF(Draft_Import!$D$2:'Draft_Import'!$D173,I$1),"")</f>
        <v/>
      </c>
      <c r="K173" t="str">
        <f>IF(Draft_Import!$D173=K$1,COUNTIF(Draft_Import!$D$2:'Draft_Import'!$D173,K$1),"")</f>
        <v/>
      </c>
      <c r="M173" t="str">
        <f>IF(Draft_Import!$D173=M$1,COUNTIF(Draft_Import!$D$2:'Draft_Import'!$D173,M$1),"")</f>
        <v/>
      </c>
      <c r="O173" t="str">
        <f>IF(Draft_Import!$D173=O$1,COUNTIF(Draft_Import!$D$2:'Draft_Import'!$D173,O$1),"")</f>
        <v/>
      </c>
      <c r="Q173" t="str">
        <f>IF(Draft_Import!$D173=Q$1,COUNTIF(Draft_Import!$D$2:'Draft_Import'!$D173,Q$1),"")</f>
        <v/>
      </c>
      <c r="S173" t="str">
        <f>IF(Draft_Import!$D173=S$1,COUNTIF(Draft_Import!$D$2:'Draft_Import'!$D173,S$1),"")</f>
        <v/>
      </c>
    </row>
    <row r="174" spans="1:19" x14ac:dyDescent="0.25">
      <c r="A174" t="str">
        <f>IF(Draft_Import!$D174=A$1,COUNTIF(Draft_Import!$D$2:'Draft_Import'!$D174,A$1),"")</f>
        <v/>
      </c>
      <c r="C174" t="str">
        <f>IF(Draft_Import!$D174=C$1,COUNTIF(Draft_Import!$D$2:'Draft_Import'!$D174,C$1),"")</f>
        <v/>
      </c>
      <c r="E174" t="str">
        <f>IF(Draft_Import!$D174=E$1,COUNTIF(Draft_Import!$D$2:'Draft_Import'!$D174,E$1),"")</f>
        <v/>
      </c>
      <c r="G174" t="str">
        <f>IF(Draft_Import!$D174=G$1,COUNTIF(Draft_Import!$D$2:'Draft_Import'!$D174,G$1),"")</f>
        <v/>
      </c>
      <c r="I174" t="str">
        <f>IF(Draft_Import!$D174=I$1,COUNTIF(Draft_Import!$D$2:'Draft_Import'!$D174,I$1),"")</f>
        <v/>
      </c>
      <c r="K174" t="str">
        <f>IF(Draft_Import!$D174=K$1,COUNTIF(Draft_Import!$D$2:'Draft_Import'!$D174,K$1),"")</f>
        <v/>
      </c>
      <c r="M174" t="str">
        <f>IF(Draft_Import!$D174=M$1,COUNTIF(Draft_Import!$D$2:'Draft_Import'!$D174,M$1),"")</f>
        <v/>
      </c>
      <c r="O174" t="str">
        <f>IF(Draft_Import!$D174=O$1,COUNTIF(Draft_Import!$D$2:'Draft_Import'!$D174,O$1),"")</f>
        <v/>
      </c>
      <c r="Q174" t="str">
        <f>IF(Draft_Import!$D174=Q$1,COUNTIF(Draft_Import!$D$2:'Draft_Import'!$D174,Q$1),"")</f>
        <v/>
      </c>
      <c r="S174" t="str">
        <f>IF(Draft_Import!$D174=S$1,COUNTIF(Draft_Import!$D$2:'Draft_Import'!$D174,S$1),"")</f>
        <v/>
      </c>
    </row>
    <row r="175" spans="1:19" x14ac:dyDescent="0.25">
      <c r="A175" t="str">
        <f>IF(Draft_Import!$D175=A$1,COUNTIF(Draft_Import!$D$2:'Draft_Import'!$D175,A$1),"")</f>
        <v/>
      </c>
      <c r="C175" t="str">
        <f>IF(Draft_Import!$D175=C$1,COUNTIF(Draft_Import!$D$2:'Draft_Import'!$D175,C$1),"")</f>
        <v/>
      </c>
      <c r="E175" t="str">
        <f>IF(Draft_Import!$D175=E$1,COUNTIF(Draft_Import!$D$2:'Draft_Import'!$D175,E$1),"")</f>
        <v/>
      </c>
      <c r="G175" t="str">
        <f>IF(Draft_Import!$D175=G$1,COUNTIF(Draft_Import!$D$2:'Draft_Import'!$D175,G$1),"")</f>
        <v/>
      </c>
      <c r="I175" t="str">
        <f>IF(Draft_Import!$D175=I$1,COUNTIF(Draft_Import!$D$2:'Draft_Import'!$D175,I$1),"")</f>
        <v/>
      </c>
      <c r="K175" t="str">
        <f>IF(Draft_Import!$D175=K$1,COUNTIF(Draft_Import!$D$2:'Draft_Import'!$D175,K$1),"")</f>
        <v/>
      </c>
      <c r="M175" t="str">
        <f>IF(Draft_Import!$D175=M$1,COUNTIF(Draft_Import!$D$2:'Draft_Import'!$D175,M$1),"")</f>
        <v/>
      </c>
      <c r="O175" t="str">
        <f>IF(Draft_Import!$D175=O$1,COUNTIF(Draft_Import!$D$2:'Draft_Import'!$D175,O$1),"")</f>
        <v/>
      </c>
      <c r="Q175" t="str">
        <f>IF(Draft_Import!$D175=Q$1,COUNTIF(Draft_Import!$D$2:'Draft_Import'!$D175,Q$1),"")</f>
        <v/>
      </c>
      <c r="S175" t="str">
        <f>IF(Draft_Import!$D175=S$1,COUNTIF(Draft_Import!$D$2:'Draft_Import'!$D175,S$1),"")</f>
        <v/>
      </c>
    </row>
    <row r="176" spans="1:19" x14ac:dyDescent="0.25">
      <c r="A176" t="str">
        <f>IF(Draft_Import!$D176=A$1,COUNTIF(Draft_Import!$D$2:'Draft_Import'!$D176,A$1),"")</f>
        <v/>
      </c>
      <c r="C176" t="str">
        <f>IF(Draft_Import!$D176=C$1,COUNTIF(Draft_Import!$D$2:'Draft_Import'!$D176,C$1),"")</f>
        <v/>
      </c>
      <c r="E176" t="str">
        <f>IF(Draft_Import!$D176=E$1,COUNTIF(Draft_Import!$D$2:'Draft_Import'!$D176,E$1),"")</f>
        <v/>
      </c>
      <c r="G176" t="str">
        <f>IF(Draft_Import!$D176=G$1,COUNTIF(Draft_Import!$D$2:'Draft_Import'!$D176,G$1),"")</f>
        <v/>
      </c>
      <c r="I176" t="str">
        <f>IF(Draft_Import!$D176=I$1,COUNTIF(Draft_Import!$D$2:'Draft_Import'!$D176,I$1),"")</f>
        <v/>
      </c>
      <c r="K176" t="str">
        <f>IF(Draft_Import!$D176=K$1,COUNTIF(Draft_Import!$D$2:'Draft_Import'!$D176,K$1),"")</f>
        <v/>
      </c>
      <c r="M176" t="str">
        <f>IF(Draft_Import!$D176=M$1,COUNTIF(Draft_Import!$D$2:'Draft_Import'!$D176,M$1),"")</f>
        <v/>
      </c>
      <c r="O176" t="str">
        <f>IF(Draft_Import!$D176=O$1,COUNTIF(Draft_Import!$D$2:'Draft_Import'!$D176,O$1),"")</f>
        <v/>
      </c>
      <c r="Q176" t="str">
        <f>IF(Draft_Import!$D176=Q$1,COUNTIF(Draft_Import!$D$2:'Draft_Import'!$D176,Q$1),"")</f>
        <v/>
      </c>
      <c r="S176" t="str">
        <f>IF(Draft_Import!$D176=S$1,COUNTIF(Draft_Import!$D$2:'Draft_Import'!$D176,S$1),"")</f>
        <v/>
      </c>
    </row>
    <row r="177" spans="1:19" x14ac:dyDescent="0.25">
      <c r="A177" t="str">
        <f>IF(Draft_Import!$D177=A$1,COUNTIF(Draft_Import!$D$2:'Draft_Import'!$D177,A$1),"")</f>
        <v/>
      </c>
      <c r="C177" t="str">
        <f>IF(Draft_Import!$D177=C$1,COUNTIF(Draft_Import!$D$2:'Draft_Import'!$D177,C$1),"")</f>
        <v/>
      </c>
      <c r="E177" t="str">
        <f>IF(Draft_Import!$D177=E$1,COUNTIF(Draft_Import!$D$2:'Draft_Import'!$D177,E$1),"")</f>
        <v/>
      </c>
      <c r="G177" t="str">
        <f>IF(Draft_Import!$D177=G$1,COUNTIF(Draft_Import!$D$2:'Draft_Import'!$D177,G$1),"")</f>
        <v/>
      </c>
      <c r="I177" t="str">
        <f>IF(Draft_Import!$D177=I$1,COUNTIF(Draft_Import!$D$2:'Draft_Import'!$D177,I$1),"")</f>
        <v/>
      </c>
      <c r="K177" t="str">
        <f>IF(Draft_Import!$D177=K$1,COUNTIF(Draft_Import!$D$2:'Draft_Import'!$D177,K$1),"")</f>
        <v/>
      </c>
      <c r="M177" t="str">
        <f>IF(Draft_Import!$D177=M$1,COUNTIF(Draft_Import!$D$2:'Draft_Import'!$D177,M$1),"")</f>
        <v/>
      </c>
      <c r="O177" t="str">
        <f>IF(Draft_Import!$D177=O$1,COUNTIF(Draft_Import!$D$2:'Draft_Import'!$D177,O$1),"")</f>
        <v/>
      </c>
      <c r="Q177" t="str">
        <f>IF(Draft_Import!$D177=Q$1,COUNTIF(Draft_Import!$D$2:'Draft_Import'!$D177,Q$1),"")</f>
        <v/>
      </c>
      <c r="S177" t="str">
        <f>IF(Draft_Import!$D177=S$1,COUNTIF(Draft_Import!$D$2:'Draft_Import'!$D177,S$1),"")</f>
        <v/>
      </c>
    </row>
    <row r="178" spans="1:19" x14ac:dyDescent="0.25">
      <c r="A178" t="str">
        <f>IF(Draft_Import!$D178=A$1,COUNTIF(Draft_Import!$D$2:'Draft_Import'!$D178,A$1),"")</f>
        <v/>
      </c>
      <c r="C178" t="str">
        <f>IF(Draft_Import!$D178=C$1,COUNTIF(Draft_Import!$D$2:'Draft_Import'!$D178,C$1),"")</f>
        <v/>
      </c>
      <c r="E178" t="str">
        <f>IF(Draft_Import!$D178=E$1,COUNTIF(Draft_Import!$D$2:'Draft_Import'!$D178,E$1),"")</f>
        <v/>
      </c>
      <c r="G178" t="str">
        <f>IF(Draft_Import!$D178=G$1,COUNTIF(Draft_Import!$D$2:'Draft_Import'!$D178,G$1),"")</f>
        <v/>
      </c>
      <c r="I178" t="str">
        <f>IF(Draft_Import!$D178=I$1,COUNTIF(Draft_Import!$D$2:'Draft_Import'!$D178,I$1),"")</f>
        <v/>
      </c>
      <c r="K178" t="str">
        <f>IF(Draft_Import!$D178=K$1,COUNTIF(Draft_Import!$D$2:'Draft_Import'!$D178,K$1),"")</f>
        <v/>
      </c>
      <c r="M178" t="str">
        <f>IF(Draft_Import!$D178=M$1,COUNTIF(Draft_Import!$D$2:'Draft_Import'!$D178,M$1),"")</f>
        <v/>
      </c>
      <c r="O178" t="str">
        <f>IF(Draft_Import!$D178=O$1,COUNTIF(Draft_Import!$D$2:'Draft_Import'!$D178,O$1),"")</f>
        <v/>
      </c>
      <c r="Q178" t="str">
        <f>IF(Draft_Import!$D178=Q$1,COUNTIF(Draft_Import!$D$2:'Draft_Import'!$D178,Q$1),"")</f>
        <v/>
      </c>
      <c r="S178" t="str">
        <f>IF(Draft_Import!$D178=S$1,COUNTIF(Draft_Import!$D$2:'Draft_Import'!$D178,S$1),"")</f>
        <v/>
      </c>
    </row>
    <row r="179" spans="1:19" x14ac:dyDescent="0.25">
      <c r="A179" t="str">
        <f>IF(Draft_Import!$D179=A$1,COUNTIF(Draft_Import!$D$2:'Draft_Import'!$D179,A$1),"")</f>
        <v/>
      </c>
      <c r="C179" t="str">
        <f>IF(Draft_Import!$D179=C$1,COUNTIF(Draft_Import!$D$2:'Draft_Import'!$D179,C$1),"")</f>
        <v/>
      </c>
      <c r="E179" t="str">
        <f>IF(Draft_Import!$D179=E$1,COUNTIF(Draft_Import!$D$2:'Draft_Import'!$D179,E$1),"")</f>
        <v/>
      </c>
      <c r="G179" t="str">
        <f>IF(Draft_Import!$D179=G$1,COUNTIF(Draft_Import!$D$2:'Draft_Import'!$D179,G$1),"")</f>
        <v/>
      </c>
      <c r="I179" t="str">
        <f>IF(Draft_Import!$D179=I$1,COUNTIF(Draft_Import!$D$2:'Draft_Import'!$D179,I$1),"")</f>
        <v/>
      </c>
      <c r="K179" t="str">
        <f>IF(Draft_Import!$D179=K$1,COUNTIF(Draft_Import!$D$2:'Draft_Import'!$D179,K$1),"")</f>
        <v/>
      </c>
      <c r="M179" t="str">
        <f>IF(Draft_Import!$D179=M$1,COUNTIF(Draft_Import!$D$2:'Draft_Import'!$D179,M$1),"")</f>
        <v/>
      </c>
      <c r="O179" t="str">
        <f>IF(Draft_Import!$D179=O$1,COUNTIF(Draft_Import!$D$2:'Draft_Import'!$D179,O$1),"")</f>
        <v/>
      </c>
      <c r="Q179" t="str">
        <f>IF(Draft_Import!$D179=Q$1,COUNTIF(Draft_Import!$D$2:'Draft_Import'!$D179,Q$1),"")</f>
        <v/>
      </c>
      <c r="S179" t="str">
        <f>IF(Draft_Import!$D179=S$1,COUNTIF(Draft_Import!$D$2:'Draft_Import'!$D179,S$1),"")</f>
        <v/>
      </c>
    </row>
    <row r="180" spans="1:19" x14ac:dyDescent="0.25">
      <c r="A180" t="str">
        <f>IF(Draft_Import!$D180=A$1,COUNTIF(Draft_Import!$D$2:'Draft_Import'!$D180,A$1),"")</f>
        <v/>
      </c>
      <c r="C180" t="str">
        <f>IF(Draft_Import!$D180=C$1,COUNTIF(Draft_Import!$D$2:'Draft_Import'!$D180,C$1),"")</f>
        <v/>
      </c>
      <c r="E180" t="str">
        <f>IF(Draft_Import!$D180=E$1,COUNTIF(Draft_Import!$D$2:'Draft_Import'!$D180,E$1),"")</f>
        <v/>
      </c>
      <c r="G180" t="str">
        <f>IF(Draft_Import!$D180=G$1,COUNTIF(Draft_Import!$D$2:'Draft_Import'!$D180,G$1),"")</f>
        <v/>
      </c>
      <c r="I180" t="str">
        <f>IF(Draft_Import!$D180=I$1,COUNTIF(Draft_Import!$D$2:'Draft_Import'!$D180,I$1),"")</f>
        <v/>
      </c>
      <c r="K180" t="str">
        <f>IF(Draft_Import!$D180=K$1,COUNTIF(Draft_Import!$D$2:'Draft_Import'!$D180,K$1),"")</f>
        <v/>
      </c>
      <c r="M180" t="str">
        <f>IF(Draft_Import!$D180=M$1,COUNTIF(Draft_Import!$D$2:'Draft_Import'!$D180,M$1),"")</f>
        <v/>
      </c>
      <c r="O180" t="str">
        <f>IF(Draft_Import!$D180=O$1,COUNTIF(Draft_Import!$D$2:'Draft_Import'!$D180,O$1),"")</f>
        <v/>
      </c>
      <c r="Q180" t="str">
        <f>IF(Draft_Import!$D180=Q$1,COUNTIF(Draft_Import!$D$2:'Draft_Import'!$D180,Q$1),"")</f>
        <v/>
      </c>
      <c r="S180" t="str">
        <f>IF(Draft_Import!$D180=S$1,COUNTIF(Draft_Import!$D$2:'Draft_Import'!$D180,S$1),"")</f>
        <v/>
      </c>
    </row>
    <row r="181" spans="1:19" x14ac:dyDescent="0.25">
      <c r="A181" t="str">
        <f>IF(Draft_Import!$D181=A$1,COUNTIF(Draft_Import!$D$2:'Draft_Import'!$D181,A$1),"")</f>
        <v/>
      </c>
      <c r="C181" t="str">
        <f>IF(Draft_Import!$D181=C$1,COUNTIF(Draft_Import!$D$2:'Draft_Import'!$D181,C$1),"")</f>
        <v/>
      </c>
      <c r="E181" t="str">
        <f>IF(Draft_Import!$D181=E$1,COUNTIF(Draft_Import!$D$2:'Draft_Import'!$D181,E$1),"")</f>
        <v/>
      </c>
      <c r="G181" t="str">
        <f>IF(Draft_Import!$D181=G$1,COUNTIF(Draft_Import!$D$2:'Draft_Import'!$D181,G$1),"")</f>
        <v/>
      </c>
      <c r="I181" t="str">
        <f>IF(Draft_Import!$D181=I$1,COUNTIF(Draft_Import!$D$2:'Draft_Import'!$D181,I$1),"")</f>
        <v/>
      </c>
      <c r="K181" t="str">
        <f>IF(Draft_Import!$D181=K$1,COUNTIF(Draft_Import!$D$2:'Draft_Import'!$D181,K$1),"")</f>
        <v/>
      </c>
      <c r="M181" t="str">
        <f>IF(Draft_Import!$D181=M$1,COUNTIF(Draft_Import!$D$2:'Draft_Import'!$D181,M$1),"")</f>
        <v/>
      </c>
      <c r="O181" t="str">
        <f>IF(Draft_Import!$D181=O$1,COUNTIF(Draft_Import!$D$2:'Draft_Import'!$D181,O$1),"")</f>
        <v/>
      </c>
      <c r="Q181" t="str">
        <f>IF(Draft_Import!$D181=Q$1,COUNTIF(Draft_Import!$D$2:'Draft_Import'!$D181,Q$1),"")</f>
        <v/>
      </c>
      <c r="S181" t="str">
        <f>IF(Draft_Import!$D181=S$1,COUNTIF(Draft_Import!$D$2:'Draft_Import'!$D181,S$1),"")</f>
        <v/>
      </c>
    </row>
    <row r="182" spans="1:19" x14ac:dyDescent="0.25">
      <c r="A182" t="str">
        <f>IF(Draft_Import!$D182=A$1,COUNTIF(Draft_Import!$D$2:'Draft_Import'!$D182,A$1),"")</f>
        <v/>
      </c>
      <c r="C182" t="str">
        <f>IF(Draft_Import!$D182=C$1,COUNTIF(Draft_Import!$D$2:'Draft_Import'!$D182,C$1),"")</f>
        <v/>
      </c>
      <c r="E182" t="str">
        <f>IF(Draft_Import!$D182=E$1,COUNTIF(Draft_Import!$D$2:'Draft_Import'!$D182,E$1),"")</f>
        <v/>
      </c>
      <c r="G182" t="str">
        <f>IF(Draft_Import!$D182=G$1,COUNTIF(Draft_Import!$D$2:'Draft_Import'!$D182,G$1),"")</f>
        <v/>
      </c>
      <c r="I182" t="str">
        <f>IF(Draft_Import!$D182=I$1,COUNTIF(Draft_Import!$D$2:'Draft_Import'!$D182,I$1),"")</f>
        <v/>
      </c>
      <c r="K182" t="str">
        <f>IF(Draft_Import!$D182=K$1,COUNTIF(Draft_Import!$D$2:'Draft_Import'!$D182,K$1),"")</f>
        <v/>
      </c>
      <c r="M182" t="str">
        <f>IF(Draft_Import!$D182=M$1,COUNTIF(Draft_Import!$D$2:'Draft_Import'!$D182,M$1),"")</f>
        <v/>
      </c>
      <c r="O182" t="str">
        <f>IF(Draft_Import!$D182=O$1,COUNTIF(Draft_Import!$D$2:'Draft_Import'!$D182,O$1),"")</f>
        <v/>
      </c>
      <c r="Q182" t="str">
        <f>IF(Draft_Import!$D182=Q$1,COUNTIF(Draft_Import!$D$2:'Draft_Import'!$D182,Q$1),"")</f>
        <v/>
      </c>
      <c r="S182" t="str">
        <f>IF(Draft_Import!$D182=S$1,COUNTIF(Draft_Import!$D$2:'Draft_Import'!$D182,S$1),"")</f>
        <v/>
      </c>
    </row>
    <row r="183" spans="1:19" x14ac:dyDescent="0.25">
      <c r="A183" t="str">
        <f>IF(Draft_Import!$D183=A$1,COUNTIF(Draft_Import!$D$2:'Draft_Import'!$D183,A$1),"")</f>
        <v/>
      </c>
      <c r="C183" t="str">
        <f>IF(Draft_Import!$D183=C$1,COUNTIF(Draft_Import!$D$2:'Draft_Import'!$D183,C$1),"")</f>
        <v/>
      </c>
      <c r="E183" t="str">
        <f>IF(Draft_Import!$D183=E$1,COUNTIF(Draft_Import!$D$2:'Draft_Import'!$D183,E$1),"")</f>
        <v/>
      </c>
      <c r="G183" t="str">
        <f>IF(Draft_Import!$D183=G$1,COUNTIF(Draft_Import!$D$2:'Draft_Import'!$D183,G$1),"")</f>
        <v/>
      </c>
      <c r="I183" t="str">
        <f>IF(Draft_Import!$D183=I$1,COUNTIF(Draft_Import!$D$2:'Draft_Import'!$D183,I$1),"")</f>
        <v/>
      </c>
      <c r="K183" t="str">
        <f>IF(Draft_Import!$D183=K$1,COUNTIF(Draft_Import!$D$2:'Draft_Import'!$D183,K$1),"")</f>
        <v/>
      </c>
      <c r="M183" t="str">
        <f>IF(Draft_Import!$D183=M$1,COUNTIF(Draft_Import!$D$2:'Draft_Import'!$D183,M$1),"")</f>
        <v/>
      </c>
      <c r="O183" t="str">
        <f>IF(Draft_Import!$D183=O$1,COUNTIF(Draft_Import!$D$2:'Draft_Import'!$D183,O$1),"")</f>
        <v/>
      </c>
      <c r="Q183" t="str">
        <f>IF(Draft_Import!$D183=Q$1,COUNTIF(Draft_Import!$D$2:'Draft_Import'!$D183,Q$1),"")</f>
        <v/>
      </c>
      <c r="S183" t="str">
        <f>IF(Draft_Import!$D183=S$1,COUNTIF(Draft_Import!$D$2:'Draft_Import'!$D183,S$1),"")</f>
        <v/>
      </c>
    </row>
    <row r="184" spans="1:19" x14ac:dyDescent="0.25">
      <c r="A184" t="str">
        <f>IF(Draft_Import!$D184=A$1,COUNTIF(Draft_Import!$D$2:'Draft_Import'!$D184,A$1),"")</f>
        <v/>
      </c>
      <c r="C184" t="str">
        <f>IF(Draft_Import!$D184=C$1,COUNTIF(Draft_Import!$D$2:'Draft_Import'!$D184,C$1),"")</f>
        <v/>
      </c>
      <c r="E184" t="str">
        <f>IF(Draft_Import!$D184=E$1,COUNTIF(Draft_Import!$D$2:'Draft_Import'!$D184,E$1),"")</f>
        <v/>
      </c>
      <c r="G184" t="str">
        <f>IF(Draft_Import!$D184=G$1,COUNTIF(Draft_Import!$D$2:'Draft_Import'!$D184,G$1),"")</f>
        <v/>
      </c>
      <c r="I184" t="str">
        <f>IF(Draft_Import!$D184=I$1,COUNTIF(Draft_Import!$D$2:'Draft_Import'!$D184,I$1),"")</f>
        <v/>
      </c>
      <c r="K184" t="str">
        <f>IF(Draft_Import!$D184=K$1,COUNTIF(Draft_Import!$D$2:'Draft_Import'!$D184,K$1),"")</f>
        <v/>
      </c>
      <c r="M184" t="str">
        <f>IF(Draft_Import!$D184=M$1,COUNTIF(Draft_Import!$D$2:'Draft_Import'!$D184,M$1),"")</f>
        <v/>
      </c>
      <c r="O184" t="str">
        <f>IF(Draft_Import!$D184=O$1,COUNTIF(Draft_Import!$D$2:'Draft_Import'!$D184,O$1),"")</f>
        <v/>
      </c>
      <c r="Q184" t="str">
        <f>IF(Draft_Import!$D184=Q$1,COUNTIF(Draft_Import!$D$2:'Draft_Import'!$D184,Q$1),"")</f>
        <v/>
      </c>
      <c r="S184" t="str">
        <f>IF(Draft_Import!$D184=S$1,COUNTIF(Draft_Import!$D$2:'Draft_Import'!$D184,S$1),"")</f>
        <v/>
      </c>
    </row>
    <row r="185" spans="1:19" x14ac:dyDescent="0.25">
      <c r="A185" t="str">
        <f>IF(Draft_Import!$D185=A$1,COUNTIF(Draft_Import!$D$2:'Draft_Import'!$D185,A$1),"")</f>
        <v/>
      </c>
      <c r="C185" t="str">
        <f>IF(Draft_Import!$D185=C$1,COUNTIF(Draft_Import!$D$2:'Draft_Import'!$D185,C$1),"")</f>
        <v/>
      </c>
      <c r="E185" t="str">
        <f>IF(Draft_Import!$D185=E$1,COUNTIF(Draft_Import!$D$2:'Draft_Import'!$D185,E$1),"")</f>
        <v/>
      </c>
      <c r="G185" t="str">
        <f>IF(Draft_Import!$D185=G$1,COUNTIF(Draft_Import!$D$2:'Draft_Import'!$D185,G$1),"")</f>
        <v/>
      </c>
      <c r="I185" t="str">
        <f>IF(Draft_Import!$D185=I$1,COUNTIF(Draft_Import!$D$2:'Draft_Import'!$D185,I$1),"")</f>
        <v/>
      </c>
      <c r="K185" t="str">
        <f>IF(Draft_Import!$D185=K$1,COUNTIF(Draft_Import!$D$2:'Draft_Import'!$D185,K$1),"")</f>
        <v/>
      </c>
      <c r="M185" t="str">
        <f>IF(Draft_Import!$D185=M$1,COUNTIF(Draft_Import!$D$2:'Draft_Import'!$D185,M$1),"")</f>
        <v/>
      </c>
      <c r="O185" t="str">
        <f>IF(Draft_Import!$D185=O$1,COUNTIF(Draft_Import!$D$2:'Draft_Import'!$D185,O$1),"")</f>
        <v/>
      </c>
      <c r="Q185" t="str">
        <f>IF(Draft_Import!$D185=Q$1,COUNTIF(Draft_Import!$D$2:'Draft_Import'!$D185,Q$1),"")</f>
        <v/>
      </c>
      <c r="S185" t="str">
        <f>IF(Draft_Import!$D185=S$1,COUNTIF(Draft_Import!$D$2:'Draft_Import'!$D185,S$1),"")</f>
        <v/>
      </c>
    </row>
    <row r="186" spans="1:19" x14ac:dyDescent="0.25">
      <c r="A186" t="str">
        <f>IF(Draft_Import!$D186=A$1,COUNTIF(Draft_Import!$D$2:'Draft_Import'!$D186,A$1),"")</f>
        <v/>
      </c>
      <c r="C186" t="str">
        <f>IF(Draft_Import!$D186=C$1,COUNTIF(Draft_Import!$D$2:'Draft_Import'!$D186,C$1),"")</f>
        <v/>
      </c>
      <c r="E186" t="str">
        <f>IF(Draft_Import!$D186=E$1,COUNTIF(Draft_Import!$D$2:'Draft_Import'!$D186,E$1),"")</f>
        <v/>
      </c>
      <c r="G186" t="str">
        <f>IF(Draft_Import!$D186=G$1,COUNTIF(Draft_Import!$D$2:'Draft_Import'!$D186,G$1),"")</f>
        <v/>
      </c>
      <c r="I186" t="str">
        <f>IF(Draft_Import!$D186=I$1,COUNTIF(Draft_Import!$D$2:'Draft_Import'!$D186,I$1),"")</f>
        <v/>
      </c>
      <c r="K186" t="str">
        <f>IF(Draft_Import!$D186=K$1,COUNTIF(Draft_Import!$D$2:'Draft_Import'!$D186,K$1),"")</f>
        <v/>
      </c>
      <c r="M186" t="str">
        <f>IF(Draft_Import!$D186=M$1,COUNTIF(Draft_Import!$D$2:'Draft_Import'!$D186,M$1),"")</f>
        <v/>
      </c>
      <c r="O186" t="str">
        <f>IF(Draft_Import!$D186=O$1,COUNTIF(Draft_Import!$D$2:'Draft_Import'!$D186,O$1),"")</f>
        <v/>
      </c>
      <c r="Q186" t="str">
        <f>IF(Draft_Import!$D186=Q$1,COUNTIF(Draft_Import!$D$2:'Draft_Import'!$D186,Q$1),"")</f>
        <v/>
      </c>
      <c r="S186" t="str">
        <f>IF(Draft_Import!$D186=S$1,COUNTIF(Draft_Import!$D$2:'Draft_Import'!$D186,S$1),"")</f>
        <v/>
      </c>
    </row>
    <row r="187" spans="1:19" x14ac:dyDescent="0.25">
      <c r="A187" t="str">
        <f>IF(Draft_Import!$D187=A$1,COUNTIF(Draft_Import!$D$2:'Draft_Import'!$D187,A$1),"")</f>
        <v/>
      </c>
      <c r="C187" t="str">
        <f>IF(Draft_Import!$D187=C$1,COUNTIF(Draft_Import!$D$2:'Draft_Import'!$D187,C$1),"")</f>
        <v/>
      </c>
      <c r="E187" t="str">
        <f>IF(Draft_Import!$D187=E$1,COUNTIF(Draft_Import!$D$2:'Draft_Import'!$D187,E$1),"")</f>
        <v/>
      </c>
      <c r="G187" t="str">
        <f>IF(Draft_Import!$D187=G$1,COUNTIF(Draft_Import!$D$2:'Draft_Import'!$D187,G$1),"")</f>
        <v/>
      </c>
      <c r="I187" t="str">
        <f>IF(Draft_Import!$D187=I$1,COUNTIF(Draft_Import!$D$2:'Draft_Import'!$D187,I$1),"")</f>
        <v/>
      </c>
      <c r="K187" t="str">
        <f>IF(Draft_Import!$D187=K$1,COUNTIF(Draft_Import!$D$2:'Draft_Import'!$D187,K$1),"")</f>
        <v/>
      </c>
      <c r="M187" t="str">
        <f>IF(Draft_Import!$D187=M$1,COUNTIF(Draft_Import!$D$2:'Draft_Import'!$D187,M$1),"")</f>
        <v/>
      </c>
      <c r="O187" t="str">
        <f>IF(Draft_Import!$D187=O$1,COUNTIF(Draft_Import!$D$2:'Draft_Import'!$D187,O$1),"")</f>
        <v/>
      </c>
      <c r="Q187" t="str">
        <f>IF(Draft_Import!$D187=Q$1,COUNTIF(Draft_Import!$D$2:'Draft_Import'!$D187,Q$1),"")</f>
        <v/>
      </c>
      <c r="S187" t="str">
        <f>IF(Draft_Import!$D187=S$1,COUNTIF(Draft_Import!$D$2:'Draft_Import'!$D187,S$1),"")</f>
        <v/>
      </c>
    </row>
    <row r="188" spans="1:19" x14ac:dyDescent="0.25">
      <c r="A188" t="str">
        <f>IF(Draft_Import!$D188=A$1,COUNTIF(Draft_Import!$D$2:'Draft_Import'!$D188,A$1),"")</f>
        <v/>
      </c>
      <c r="C188" t="str">
        <f>IF(Draft_Import!$D188=C$1,COUNTIF(Draft_Import!$D$2:'Draft_Import'!$D188,C$1),"")</f>
        <v/>
      </c>
      <c r="E188" t="str">
        <f>IF(Draft_Import!$D188=E$1,COUNTIF(Draft_Import!$D$2:'Draft_Import'!$D188,E$1),"")</f>
        <v/>
      </c>
      <c r="G188" t="str">
        <f>IF(Draft_Import!$D188=G$1,COUNTIF(Draft_Import!$D$2:'Draft_Import'!$D188,G$1),"")</f>
        <v/>
      </c>
      <c r="I188" t="str">
        <f>IF(Draft_Import!$D188=I$1,COUNTIF(Draft_Import!$D$2:'Draft_Import'!$D188,I$1),"")</f>
        <v/>
      </c>
      <c r="K188" t="str">
        <f>IF(Draft_Import!$D188=K$1,COUNTIF(Draft_Import!$D$2:'Draft_Import'!$D188,K$1),"")</f>
        <v/>
      </c>
      <c r="M188" t="str">
        <f>IF(Draft_Import!$D188=M$1,COUNTIF(Draft_Import!$D$2:'Draft_Import'!$D188,M$1),"")</f>
        <v/>
      </c>
      <c r="O188" t="str">
        <f>IF(Draft_Import!$D188=O$1,COUNTIF(Draft_Import!$D$2:'Draft_Import'!$D188,O$1),"")</f>
        <v/>
      </c>
      <c r="Q188" t="str">
        <f>IF(Draft_Import!$D188=Q$1,COUNTIF(Draft_Import!$D$2:'Draft_Import'!$D188,Q$1),"")</f>
        <v/>
      </c>
      <c r="S188" t="str">
        <f>IF(Draft_Import!$D188=S$1,COUNTIF(Draft_Import!$D$2:'Draft_Import'!$D188,S$1),"")</f>
        <v/>
      </c>
    </row>
    <row r="189" spans="1:19" x14ac:dyDescent="0.25">
      <c r="A189" t="str">
        <f>IF(Draft_Import!$D189=A$1,COUNTIF(Draft_Import!$D$2:'Draft_Import'!$D189,A$1),"")</f>
        <v/>
      </c>
      <c r="C189" t="str">
        <f>IF(Draft_Import!$D189=C$1,COUNTIF(Draft_Import!$D$2:'Draft_Import'!$D189,C$1),"")</f>
        <v/>
      </c>
      <c r="E189" t="str">
        <f>IF(Draft_Import!$D189=E$1,COUNTIF(Draft_Import!$D$2:'Draft_Import'!$D189,E$1),"")</f>
        <v/>
      </c>
      <c r="G189" t="str">
        <f>IF(Draft_Import!$D189=G$1,COUNTIF(Draft_Import!$D$2:'Draft_Import'!$D189,G$1),"")</f>
        <v/>
      </c>
      <c r="I189" t="str">
        <f>IF(Draft_Import!$D189=I$1,COUNTIF(Draft_Import!$D$2:'Draft_Import'!$D189,I$1),"")</f>
        <v/>
      </c>
      <c r="K189" t="str">
        <f>IF(Draft_Import!$D189=K$1,COUNTIF(Draft_Import!$D$2:'Draft_Import'!$D189,K$1),"")</f>
        <v/>
      </c>
      <c r="M189" t="str">
        <f>IF(Draft_Import!$D189=M$1,COUNTIF(Draft_Import!$D$2:'Draft_Import'!$D189,M$1),"")</f>
        <v/>
      </c>
      <c r="O189" t="str">
        <f>IF(Draft_Import!$D189=O$1,COUNTIF(Draft_Import!$D$2:'Draft_Import'!$D189,O$1),"")</f>
        <v/>
      </c>
      <c r="Q189" t="str">
        <f>IF(Draft_Import!$D189=Q$1,COUNTIF(Draft_Import!$D$2:'Draft_Import'!$D189,Q$1),"")</f>
        <v/>
      </c>
      <c r="S189" t="str">
        <f>IF(Draft_Import!$D189=S$1,COUNTIF(Draft_Import!$D$2:'Draft_Import'!$D189,S$1),"")</f>
        <v/>
      </c>
    </row>
    <row r="190" spans="1:19" x14ac:dyDescent="0.25">
      <c r="A190" t="str">
        <f>IF(Draft_Import!$D190=A$1,COUNTIF(Draft_Import!$D$2:'Draft_Import'!$D190,A$1),"")</f>
        <v/>
      </c>
      <c r="C190" t="str">
        <f>IF(Draft_Import!$D190=C$1,COUNTIF(Draft_Import!$D$2:'Draft_Import'!$D190,C$1),"")</f>
        <v/>
      </c>
      <c r="E190" t="str">
        <f>IF(Draft_Import!$D190=E$1,COUNTIF(Draft_Import!$D$2:'Draft_Import'!$D190,E$1),"")</f>
        <v/>
      </c>
      <c r="G190" t="str">
        <f>IF(Draft_Import!$D190=G$1,COUNTIF(Draft_Import!$D$2:'Draft_Import'!$D190,G$1),"")</f>
        <v/>
      </c>
      <c r="I190" t="str">
        <f>IF(Draft_Import!$D190=I$1,COUNTIF(Draft_Import!$D$2:'Draft_Import'!$D190,I$1),"")</f>
        <v/>
      </c>
      <c r="K190" t="str">
        <f>IF(Draft_Import!$D190=K$1,COUNTIF(Draft_Import!$D$2:'Draft_Import'!$D190,K$1),"")</f>
        <v/>
      </c>
      <c r="M190" t="str">
        <f>IF(Draft_Import!$D190=M$1,COUNTIF(Draft_Import!$D$2:'Draft_Import'!$D190,M$1),"")</f>
        <v/>
      </c>
      <c r="O190" t="str">
        <f>IF(Draft_Import!$D190=O$1,COUNTIF(Draft_Import!$D$2:'Draft_Import'!$D190,O$1),"")</f>
        <v/>
      </c>
      <c r="Q190" t="str">
        <f>IF(Draft_Import!$D190=Q$1,COUNTIF(Draft_Import!$D$2:'Draft_Import'!$D190,Q$1),"")</f>
        <v/>
      </c>
      <c r="S190" t="str">
        <f>IF(Draft_Import!$D190=S$1,COUNTIF(Draft_Import!$D$2:'Draft_Import'!$D190,S$1),"")</f>
        <v/>
      </c>
    </row>
    <row r="191" spans="1:19" x14ac:dyDescent="0.25">
      <c r="A191" t="str">
        <f>IF(Draft_Import!$D191=A$1,COUNTIF(Draft_Import!$D$2:'Draft_Import'!$D191,A$1),"")</f>
        <v/>
      </c>
      <c r="C191" t="str">
        <f>IF(Draft_Import!$D191=C$1,COUNTIF(Draft_Import!$D$2:'Draft_Import'!$D191,C$1),"")</f>
        <v/>
      </c>
      <c r="E191" t="str">
        <f>IF(Draft_Import!$D191=E$1,COUNTIF(Draft_Import!$D$2:'Draft_Import'!$D191,E$1),"")</f>
        <v/>
      </c>
      <c r="G191" t="str">
        <f>IF(Draft_Import!$D191=G$1,COUNTIF(Draft_Import!$D$2:'Draft_Import'!$D191,G$1),"")</f>
        <v/>
      </c>
      <c r="I191" t="str">
        <f>IF(Draft_Import!$D191=I$1,COUNTIF(Draft_Import!$D$2:'Draft_Import'!$D191,I$1),"")</f>
        <v/>
      </c>
      <c r="K191" t="str">
        <f>IF(Draft_Import!$D191=K$1,COUNTIF(Draft_Import!$D$2:'Draft_Import'!$D191,K$1),"")</f>
        <v/>
      </c>
      <c r="M191" t="str">
        <f>IF(Draft_Import!$D191=M$1,COUNTIF(Draft_Import!$D$2:'Draft_Import'!$D191,M$1),"")</f>
        <v/>
      </c>
      <c r="O191" t="str">
        <f>IF(Draft_Import!$D191=O$1,COUNTIF(Draft_Import!$D$2:'Draft_Import'!$D191,O$1),"")</f>
        <v/>
      </c>
      <c r="Q191" t="str">
        <f>IF(Draft_Import!$D191=Q$1,COUNTIF(Draft_Import!$D$2:'Draft_Import'!$D191,Q$1),"")</f>
        <v/>
      </c>
      <c r="S191" t="str">
        <f>IF(Draft_Import!$D191=S$1,COUNTIF(Draft_Import!$D$2:'Draft_Import'!$D191,S$1),"")</f>
        <v/>
      </c>
    </row>
    <row r="192" spans="1:19" x14ac:dyDescent="0.25">
      <c r="A192" t="str">
        <f>IF(Draft_Import!$D192=A$1,COUNTIF(Draft_Import!$D$2:'Draft_Import'!$D192,A$1),"")</f>
        <v/>
      </c>
      <c r="C192" t="str">
        <f>IF(Draft_Import!$D192=C$1,COUNTIF(Draft_Import!$D$2:'Draft_Import'!$D192,C$1),"")</f>
        <v/>
      </c>
      <c r="E192" t="str">
        <f>IF(Draft_Import!$D192=E$1,COUNTIF(Draft_Import!$D$2:'Draft_Import'!$D192,E$1),"")</f>
        <v/>
      </c>
      <c r="G192" t="str">
        <f>IF(Draft_Import!$D192=G$1,COUNTIF(Draft_Import!$D$2:'Draft_Import'!$D192,G$1),"")</f>
        <v/>
      </c>
      <c r="I192" t="str">
        <f>IF(Draft_Import!$D192=I$1,COUNTIF(Draft_Import!$D$2:'Draft_Import'!$D192,I$1),"")</f>
        <v/>
      </c>
      <c r="K192" t="str">
        <f>IF(Draft_Import!$D192=K$1,COUNTIF(Draft_Import!$D$2:'Draft_Import'!$D192,K$1),"")</f>
        <v/>
      </c>
      <c r="M192" t="str">
        <f>IF(Draft_Import!$D192=M$1,COUNTIF(Draft_Import!$D$2:'Draft_Import'!$D192,M$1),"")</f>
        <v/>
      </c>
      <c r="O192" t="str">
        <f>IF(Draft_Import!$D192=O$1,COUNTIF(Draft_Import!$D$2:'Draft_Import'!$D192,O$1),"")</f>
        <v/>
      </c>
      <c r="Q192" t="str">
        <f>IF(Draft_Import!$D192=Q$1,COUNTIF(Draft_Import!$D$2:'Draft_Import'!$D192,Q$1),"")</f>
        <v/>
      </c>
      <c r="S192" t="str">
        <f>IF(Draft_Import!$D192=S$1,COUNTIF(Draft_Import!$D$2:'Draft_Import'!$D192,S$1),"")</f>
        <v/>
      </c>
    </row>
    <row r="193" spans="1:19" x14ac:dyDescent="0.25">
      <c r="A193" t="str">
        <f>IF(Draft_Import!$D193=A$1,COUNTIF(Draft_Import!$D$2:'Draft_Import'!$D193,A$1),"")</f>
        <v/>
      </c>
      <c r="C193" t="str">
        <f>IF(Draft_Import!$D193=C$1,COUNTIF(Draft_Import!$D$2:'Draft_Import'!$D193,C$1),"")</f>
        <v/>
      </c>
      <c r="E193" t="str">
        <f>IF(Draft_Import!$D193=E$1,COUNTIF(Draft_Import!$D$2:'Draft_Import'!$D193,E$1),"")</f>
        <v/>
      </c>
      <c r="G193" t="str">
        <f>IF(Draft_Import!$D193=G$1,COUNTIF(Draft_Import!$D$2:'Draft_Import'!$D193,G$1),"")</f>
        <v/>
      </c>
      <c r="I193" t="str">
        <f>IF(Draft_Import!$D193=I$1,COUNTIF(Draft_Import!$D$2:'Draft_Import'!$D193,I$1),"")</f>
        <v/>
      </c>
      <c r="K193" t="str">
        <f>IF(Draft_Import!$D193=K$1,COUNTIF(Draft_Import!$D$2:'Draft_Import'!$D193,K$1),"")</f>
        <v/>
      </c>
      <c r="M193" t="str">
        <f>IF(Draft_Import!$D193=M$1,COUNTIF(Draft_Import!$D$2:'Draft_Import'!$D193,M$1),"")</f>
        <v/>
      </c>
      <c r="O193" t="str">
        <f>IF(Draft_Import!$D193=O$1,COUNTIF(Draft_Import!$D$2:'Draft_Import'!$D193,O$1),"")</f>
        <v/>
      </c>
      <c r="Q193" t="str">
        <f>IF(Draft_Import!$D193=Q$1,COUNTIF(Draft_Import!$D$2:'Draft_Import'!$D193,Q$1),"")</f>
        <v/>
      </c>
      <c r="S193" t="str">
        <f>IF(Draft_Import!$D193=S$1,COUNTIF(Draft_Import!$D$2:'Draft_Import'!$D193,S$1),"")</f>
        <v/>
      </c>
    </row>
    <row r="194" spans="1:19" x14ac:dyDescent="0.25">
      <c r="A194" t="str">
        <f>IF(Draft_Import!$D194=A$1,COUNTIF(Draft_Import!$D$2:'Draft_Import'!$D194,A$1),"")</f>
        <v/>
      </c>
      <c r="C194" t="str">
        <f>IF(Draft_Import!$D194=C$1,COUNTIF(Draft_Import!$D$2:'Draft_Import'!$D194,C$1),"")</f>
        <v/>
      </c>
      <c r="E194" t="str">
        <f>IF(Draft_Import!$D194=E$1,COUNTIF(Draft_Import!$D$2:'Draft_Import'!$D194,E$1),"")</f>
        <v/>
      </c>
      <c r="G194" t="str">
        <f>IF(Draft_Import!$D194=G$1,COUNTIF(Draft_Import!$D$2:'Draft_Import'!$D194,G$1),"")</f>
        <v/>
      </c>
      <c r="I194" t="str">
        <f>IF(Draft_Import!$D194=I$1,COUNTIF(Draft_Import!$D$2:'Draft_Import'!$D194,I$1),"")</f>
        <v/>
      </c>
      <c r="K194" t="str">
        <f>IF(Draft_Import!$D194=K$1,COUNTIF(Draft_Import!$D$2:'Draft_Import'!$D194,K$1),"")</f>
        <v/>
      </c>
      <c r="M194" t="str">
        <f>IF(Draft_Import!$D194=M$1,COUNTIF(Draft_Import!$D$2:'Draft_Import'!$D194,M$1),"")</f>
        <v/>
      </c>
      <c r="O194" t="str">
        <f>IF(Draft_Import!$D194=O$1,COUNTIF(Draft_Import!$D$2:'Draft_Import'!$D194,O$1),"")</f>
        <v/>
      </c>
      <c r="Q194" t="str">
        <f>IF(Draft_Import!$D194=Q$1,COUNTIF(Draft_Import!$D$2:'Draft_Import'!$D194,Q$1),"")</f>
        <v/>
      </c>
      <c r="S194" t="str">
        <f>IF(Draft_Import!$D194=S$1,COUNTIF(Draft_Import!$D$2:'Draft_Import'!$D194,S$1),"")</f>
        <v/>
      </c>
    </row>
    <row r="195" spans="1:19" x14ac:dyDescent="0.25">
      <c r="A195" t="str">
        <f>IF(Draft_Import!$D195=A$1,COUNTIF(Draft_Import!$D$2:'Draft_Import'!$D195,A$1),"")</f>
        <v/>
      </c>
      <c r="C195" t="str">
        <f>IF(Draft_Import!$D195=C$1,COUNTIF(Draft_Import!$D$2:'Draft_Import'!$D195,C$1),"")</f>
        <v/>
      </c>
      <c r="E195" t="str">
        <f>IF(Draft_Import!$D195=E$1,COUNTIF(Draft_Import!$D$2:'Draft_Import'!$D195,E$1),"")</f>
        <v/>
      </c>
      <c r="G195" t="str">
        <f>IF(Draft_Import!$D195=G$1,COUNTIF(Draft_Import!$D$2:'Draft_Import'!$D195,G$1),"")</f>
        <v/>
      </c>
      <c r="I195" t="str">
        <f>IF(Draft_Import!$D195=I$1,COUNTIF(Draft_Import!$D$2:'Draft_Import'!$D195,I$1),"")</f>
        <v/>
      </c>
      <c r="K195" t="str">
        <f>IF(Draft_Import!$D195=K$1,COUNTIF(Draft_Import!$D$2:'Draft_Import'!$D195,K$1),"")</f>
        <v/>
      </c>
      <c r="M195" t="str">
        <f>IF(Draft_Import!$D195=M$1,COUNTIF(Draft_Import!$D$2:'Draft_Import'!$D195,M$1),"")</f>
        <v/>
      </c>
      <c r="O195" t="str">
        <f>IF(Draft_Import!$D195=O$1,COUNTIF(Draft_Import!$D$2:'Draft_Import'!$D195,O$1),"")</f>
        <v/>
      </c>
      <c r="Q195" t="str">
        <f>IF(Draft_Import!$D195=Q$1,COUNTIF(Draft_Import!$D$2:'Draft_Import'!$D195,Q$1),"")</f>
        <v/>
      </c>
      <c r="S195" t="str">
        <f>IF(Draft_Import!$D195=S$1,COUNTIF(Draft_Import!$D$2:'Draft_Import'!$D195,S$1),"")</f>
        <v/>
      </c>
    </row>
    <row r="196" spans="1:19" x14ac:dyDescent="0.25">
      <c r="A196" t="str">
        <f>IF(Draft_Import!$D196=A$1,COUNTIF(Draft_Import!$D$2:'Draft_Import'!$D196,A$1),"")</f>
        <v/>
      </c>
      <c r="C196" t="str">
        <f>IF(Draft_Import!$D196=C$1,COUNTIF(Draft_Import!$D$2:'Draft_Import'!$D196,C$1),"")</f>
        <v/>
      </c>
      <c r="E196" t="str">
        <f>IF(Draft_Import!$D196=E$1,COUNTIF(Draft_Import!$D$2:'Draft_Import'!$D196,E$1),"")</f>
        <v/>
      </c>
      <c r="G196" t="str">
        <f>IF(Draft_Import!$D196=G$1,COUNTIF(Draft_Import!$D$2:'Draft_Import'!$D196,G$1),"")</f>
        <v/>
      </c>
      <c r="I196" t="str">
        <f>IF(Draft_Import!$D196=I$1,COUNTIF(Draft_Import!$D$2:'Draft_Import'!$D196,I$1),"")</f>
        <v/>
      </c>
      <c r="K196" t="str">
        <f>IF(Draft_Import!$D196=K$1,COUNTIF(Draft_Import!$D$2:'Draft_Import'!$D196,K$1),"")</f>
        <v/>
      </c>
      <c r="M196" t="str">
        <f>IF(Draft_Import!$D196=M$1,COUNTIF(Draft_Import!$D$2:'Draft_Import'!$D196,M$1),"")</f>
        <v/>
      </c>
      <c r="O196" t="str">
        <f>IF(Draft_Import!$D196=O$1,COUNTIF(Draft_Import!$D$2:'Draft_Import'!$D196,O$1),"")</f>
        <v/>
      </c>
      <c r="Q196" t="str">
        <f>IF(Draft_Import!$D196=Q$1,COUNTIF(Draft_Import!$D$2:'Draft_Import'!$D196,Q$1),"")</f>
        <v/>
      </c>
      <c r="S196" t="str">
        <f>IF(Draft_Import!$D196=S$1,COUNTIF(Draft_Import!$D$2:'Draft_Import'!$D196,S$1),"")</f>
        <v/>
      </c>
    </row>
    <row r="197" spans="1:19" x14ac:dyDescent="0.25">
      <c r="A197" t="str">
        <f>IF(Draft_Import!$D197=A$1,COUNTIF(Draft_Import!$D$2:'Draft_Import'!$D197,A$1),"")</f>
        <v/>
      </c>
      <c r="C197" t="str">
        <f>IF(Draft_Import!$D197=C$1,COUNTIF(Draft_Import!$D$2:'Draft_Import'!$D197,C$1),"")</f>
        <v/>
      </c>
      <c r="E197" t="str">
        <f>IF(Draft_Import!$D197=E$1,COUNTIF(Draft_Import!$D$2:'Draft_Import'!$D197,E$1),"")</f>
        <v/>
      </c>
      <c r="G197" t="str">
        <f>IF(Draft_Import!$D197=G$1,COUNTIF(Draft_Import!$D$2:'Draft_Import'!$D197,G$1),"")</f>
        <v/>
      </c>
      <c r="I197" t="str">
        <f>IF(Draft_Import!$D197=I$1,COUNTIF(Draft_Import!$D$2:'Draft_Import'!$D197,I$1),"")</f>
        <v/>
      </c>
      <c r="K197" t="str">
        <f>IF(Draft_Import!$D197=K$1,COUNTIF(Draft_Import!$D$2:'Draft_Import'!$D197,K$1),"")</f>
        <v/>
      </c>
      <c r="M197" t="str">
        <f>IF(Draft_Import!$D197=M$1,COUNTIF(Draft_Import!$D$2:'Draft_Import'!$D197,M$1),"")</f>
        <v/>
      </c>
      <c r="O197" t="str">
        <f>IF(Draft_Import!$D197=O$1,COUNTIF(Draft_Import!$D$2:'Draft_Import'!$D197,O$1),"")</f>
        <v/>
      </c>
      <c r="Q197" t="str">
        <f>IF(Draft_Import!$D197=Q$1,COUNTIF(Draft_Import!$D$2:'Draft_Import'!$D197,Q$1),"")</f>
        <v/>
      </c>
      <c r="S197" t="str">
        <f>IF(Draft_Import!$D197=S$1,COUNTIF(Draft_Import!$D$2:'Draft_Import'!$D197,S$1),"")</f>
        <v/>
      </c>
    </row>
    <row r="198" spans="1:19" x14ac:dyDescent="0.25">
      <c r="A198" t="str">
        <f>IF(Draft_Import!$D198=A$1,COUNTIF(Draft_Import!$D$2:'Draft_Import'!$D198,A$1),"")</f>
        <v/>
      </c>
      <c r="C198" t="str">
        <f>IF(Draft_Import!$D198=C$1,COUNTIF(Draft_Import!$D$2:'Draft_Import'!$D198,C$1),"")</f>
        <v/>
      </c>
      <c r="E198" t="str">
        <f>IF(Draft_Import!$D198=E$1,COUNTIF(Draft_Import!$D$2:'Draft_Import'!$D198,E$1),"")</f>
        <v/>
      </c>
      <c r="G198" t="str">
        <f>IF(Draft_Import!$D198=G$1,COUNTIF(Draft_Import!$D$2:'Draft_Import'!$D198,G$1),"")</f>
        <v/>
      </c>
      <c r="I198" t="str">
        <f>IF(Draft_Import!$D198=I$1,COUNTIF(Draft_Import!$D$2:'Draft_Import'!$D198,I$1),"")</f>
        <v/>
      </c>
      <c r="K198" t="str">
        <f>IF(Draft_Import!$D198=K$1,COUNTIF(Draft_Import!$D$2:'Draft_Import'!$D198,K$1),"")</f>
        <v/>
      </c>
      <c r="M198" t="str">
        <f>IF(Draft_Import!$D198=M$1,COUNTIF(Draft_Import!$D$2:'Draft_Import'!$D198,M$1),"")</f>
        <v/>
      </c>
      <c r="O198" t="str">
        <f>IF(Draft_Import!$D198=O$1,COUNTIF(Draft_Import!$D$2:'Draft_Import'!$D198,O$1),"")</f>
        <v/>
      </c>
      <c r="Q198" t="str">
        <f>IF(Draft_Import!$D198=Q$1,COUNTIF(Draft_Import!$D$2:'Draft_Import'!$D198,Q$1),"")</f>
        <v/>
      </c>
      <c r="S198" t="str">
        <f>IF(Draft_Import!$D198=S$1,COUNTIF(Draft_Import!$D$2:'Draft_Import'!$D198,S$1),"")</f>
        <v/>
      </c>
    </row>
    <row r="199" spans="1:19" x14ac:dyDescent="0.25">
      <c r="A199" t="str">
        <f>IF(Draft_Import!$D199=A$1,COUNTIF(Draft_Import!$D$2:'Draft_Import'!$D199,A$1),"")</f>
        <v/>
      </c>
      <c r="C199" t="str">
        <f>IF(Draft_Import!$D199=C$1,COUNTIF(Draft_Import!$D$2:'Draft_Import'!$D199,C$1),"")</f>
        <v/>
      </c>
      <c r="E199" t="str">
        <f>IF(Draft_Import!$D199=E$1,COUNTIF(Draft_Import!$D$2:'Draft_Import'!$D199,E$1),"")</f>
        <v/>
      </c>
      <c r="G199" t="str">
        <f>IF(Draft_Import!$D199=G$1,COUNTIF(Draft_Import!$D$2:'Draft_Import'!$D199,G$1),"")</f>
        <v/>
      </c>
      <c r="I199" t="str">
        <f>IF(Draft_Import!$D199=I$1,COUNTIF(Draft_Import!$D$2:'Draft_Import'!$D199,I$1),"")</f>
        <v/>
      </c>
      <c r="K199" t="str">
        <f>IF(Draft_Import!$D199=K$1,COUNTIF(Draft_Import!$D$2:'Draft_Import'!$D199,K$1),"")</f>
        <v/>
      </c>
      <c r="M199" t="str">
        <f>IF(Draft_Import!$D199=M$1,COUNTIF(Draft_Import!$D$2:'Draft_Import'!$D199,M$1),"")</f>
        <v/>
      </c>
      <c r="O199" t="str">
        <f>IF(Draft_Import!$D199=O$1,COUNTIF(Draft_Import!$D$2:'Draft_Import'!$D199,O$1),"")</f>
        <v/>
      </c>
      <c r="Q199" t="str">
        <f>IF(Draft_Import!$D199=Q$1,COUNTIF(Draft_Import!$D$2:'Draft_Import'!$D199,Q$1),"")</f>
        <v/>
      </c>
      <c r="S199" t="str">
        <f>IF(Draft_Import!$D199=S$1,COUNTIF(Draft_Import!$D$2:'Draft_Import'!$D199,S$1),"")</f>
        <v/>
      </c>
    </row>
    <row r="200" spans="1:19" x14ac:dyDescent="0.25">
      <c r="A200" t="str">
        <f>IF(Draft_Import!$D200=A$1,COUNTIF(Draft_Import!$D$2:'Draft_Import'!$D200,A$1),"")</f>
        <v/>
      </c>
      <c r="C200" t="str">
        <f>IF(Draft_Import!$D200=C$1,COUNTIF(Draft_Import!$D$2:'Draft_Import'!$D200,C$1),"")</f>
        <v/>
      </c>
      <c r="E200" t="str">
        <f>IF(Draft_Import!$D200=E$1,COUNTIF(Draft_Import!$D$2:'Draft_Import'!$D200,E$1),"")</f>
        <v/>
      </c>
      <c r="G200" t="str">
        <f>IF(Draft_Import!$D200=G$1,COUNTIF(Draft_Import!$D$2:'Draft_Import'!$D200,G$1),"")</f>
        <v/>
      </c>
      <c r="I200" t="str">
        <f>IF(Draft_Import!$D200=I$1,COUNTIF(Draft_Import!$D$2:'Draft_Import'!$D200,I$1),"")</f>
        <v/>
      </c>
      <c r="K200" t="str">
        <f>IF(Draft_Import!$D200=K$1,COUNTIF(Draft_Import!$D$2:'Draft_Import'!$D200,K$1),"")</f>
        <v/>
      </c>
      <c r="M200" t="str">
        <f>IF(Draft_Import!$D200=M$1,COUNTIF(Draft_Import!$D$2:'Draft_Import'!$D200,M$1),"")</f>
        <v/>
      </c>
      <c r="O200" t="str">
        <f>IF(Draft_Import!$D200=O$1,COUNTIF(Draft_Import!$D$2:'Draft_Import'!$D200,O$1),"")</f>
        <v/>
      </c>
      <c r="Q200" t="str">
        <f>IF(Draft_Import!$D200=Q$1,COUNTIF(Draft_Import!$D$2:'Draft_Import'!$D200,Q$1),"")</f>
        <v/>
      </c>
      <c r="S200" t="str">
        <f>IF(Draft_Import!$D200=S$1,COUNTIF(Draft_Import!$D$2:'Draft_Import'!$D200,S$1),"")</f>
        <v/>
      </c>
    </row>
    <row r="201" spans="1:19" x14ac:dyDescent="0.25">
      <c r="A201" t="str">
        <f>IF(Draft_Import!$D201=A$1,COUNTIF(Draft_Import!$D$2:'Draft_Import'!$D201,A$1),"")</f>
        <v/>
      </c>
      <c r="C201" t="str">
        <f>IF(Draft_Import!$D201=C$1,COUNTIF(Draft_Import!$D$2:'Draft_Import'!$D201,C$1),"")</f>
        <v/>
      </c>
      <c r="E201" t="str">
        <f>IF(Draft_Import!$D201=E$1,COUNTIF(Draft_Import!$D$2:'Draft_Import'!$D201,E$1),"")</f>
        <v/>
      </c>
      <c r="G201" t="str">
        <f>IF(Draft_Import!$D201=G$1,COUNTIF(Draft_Import!$D$2:'Draft_Import'!$D201,G$1),"")</f>
        <v/>
      </c>
      <c r="I201" t="str">
        <f>IF(Draft_Import!$D201=I$1,COUNTIF(Draft_Import!$D$2:'Draft_Import'!$D201,I$1),"")</f>
        <v/>
      </c>
      <c r="K201" t="str">
        <f>IF(Draft_Import!$D201=K$1,COUNTIF(Draft_Import!$D$2:'Draft_Import'!$D201,K$1),"")</f>
        <v/>
      </c>
      <c r="M201" t="str">
        <f>IF(Draft_Import!$D201=M$1,COUNTIF(Draft_Import!$D$2:'Draft_Import'!$D201,M$1),"")</f>
        <v/>
      </c>
      <c r="O201" t="str">
        <f>IF(Draft_Import!$D201=O$1,COUNTIF(Draft_Import!$D$2:'Draft_Import'!$D201,O$1),"")</f>
        <v/>
      </c>
      <c r="Q201" t="str">
        <f>IF(Draft_Import!$D201=Q$1,COUNTIF(Draft_Import!$D$2:'Draft_Import'!$D201,Q$1),"")</f>
        <v/>
      </c>
      <c r="S201" t="str">
        <f>IF(Draft_Import!$D201=S$1,COUNTIF(Draft_Import!$D$2:'Draft_Import'!$D201,S$1),"")</f>
        <v/>
      </c>
    </row>
    <row r="202" spans="1:19" x14ac:dyDescent="0.25">
      <c r="A202" t="str">
        <f>IF(Draft_Import!$D202=A$1,COUNTIF(Draft_Import!$D$2:'Draft_Import'!$D202,A$1),"")</f>
        <v/>
      </c>
      <c r="C202" t="str">
        <f>IF(Draft_Import!$D202=C$1,COUNTIF(Draft_Import!$D$2:'Draft_Import'!$D202,C$1),"")</f>
        <v/>
      </c>
      <c r="E202" t="str">
        <f>IF(Draft_Import!$D202=E$1,COUNTIF(Draft_Import!$D$2:'Draft_Import'!$D202,E$1),"")</f>
        <v/>
      </c>
      <c r="G202" t="str">
        <f>IF(Draft_Import!$D202=G$1,COUNTIF(Draft_Import!$D$2:'Draft_Import'!$D202,G$1),"")</f>
        <v/>
      </c>
      <c r="I202" t="str">
        <f>IF(Draft_Import!$D202=I$1,COUNTIF(Draft_Import!$D$2:'Draft_Import'!$D202,I$1),"")</f>
        <v/>
      </c>
      <c r="K202" t="str">
        <f>IF(Draft_Import!$D202=K$1,COUNTIF(Draft_Import!$D$2:'Draft_Import'!$D202,K$1),"")</f>
        <v/>
      </c>
      <c r="M202" t="str">
        <f>IF(Draft_Import!$D202=M$1,COUNTIF(Draft_Import!$D$2:'Draft_Import'!$D202,M$1),"")</f>
        <v/>
      </c>
      <c r="O202" t="str">
        <f>IF(Draft_Import!$D202=O$1,COUNTIF(Draft_Import!$D$2:'Draft_Import'!$D202,O$1),"")</f>
        <v/>
      </c>
      <c r="Q202" t="str">
        <f>IF(Draft_Import!$D202=Q$1,COUNTIF(Draft_Import!$D$2:'Draft_Import'!$D202,Q$1),"")</f>
        <v/>
      </c>
      <c r="S202" t="str">
        <f>IF(Draft_Import!$D202=S$1,COUNTIF(Draft_Import!$D$2:'Draft_Import'!$D202,S$1),"")</f>
        <v/>
      </c>
    </row>
    <row r="203" spans="1:19" x14ac:dyDescent="0.25">
      <c r="A203" t="str">
        <f>IF(Draft_Import!$D203=A$1,COUNTIF(Draft_Import!$D$2:'Draft_Import'!$D203,A$1),"")</f>
        <v/>
      </c>
      <c r="C203" t="str">
        <f>IF(Draft_Import!$D203=C$1,COUNTIF(Draft_Import!$D$2:'Draft_Import'!$D203,C$1),"")</f>
        <v/>
      </c>
      <c r="E203" t="str">
        <f>IF(Draft_Import!$D203=E$1,COUNTIF(Draft_Import!$D$2:'Draft_Import'!$D203,E$1),"")</f>
        <v/>
      </c>
      <c r="G203" t="str">
        <f>IF(Draft_Import!$D203=G$1,COUNTIF(Draft_Import!$D$2:'Draft_Import'!$D203,G$1),"")</f>
        <v/>
      </c>
      <c r="I203" t="str">
        <f>IF(Draft_Import!$D203=I$1,COUNTIF(Draft_Import!$D$2:'Draft_Import'!$D203,I$1),"")</f>
        <v/>
      </c>
      <c r="K203" t="str">
        <f>IF(Draft_Import!$D203=K$1,COUNTIF(Draft_Import!$D$2:'Draft_Import'!$D203,K$1),"")</f>
        <v/>
      </c>
      <c r="M203" t="str">
        <f>IF(Draft_Import!$D203=M$1,COUNTIF(Draft_Import!$D$2:'Draft_Import'!$D203,M$1),"")</f>
        <v/>
      </c>
      <c r="O203" t="str">
        <f>IF(Draft_Import!$D203=O$1,COUNTIF(Draft_Import!$D$2:'Draft_Import'!$D203,O$1),"")</f>
        <v/>
      </c>
      <c r="Q203" t="str">
        <f>IF(Draft_Import!$D203=Q$1,COUNTIF(Draft_Import!$D$2:'Draft_Import'!$D203,Q$1),"")</f>
        <v/>
      </c>
      <c r="S203" t="str">
        <f>IF(Draft_Import!$D203=S$1,COUNTIF(Draft_Import!$D$2:'Draft_Import'!$D203,S$1),"")</f>
        <v/>
      </c>
    </row>
    <row r="204" spans="1:19" x14ac:dyDescent="0.25">
      <c r="A204" t="str">
        <f>IF(Draft_Import!$D204=A$1,COUNTIF(Draft_Import!$D$2:'Draft_Import'!$D204,A$1),"")</f>
        <v/>
      </c>
      <c r="C204" t="str">
        <f>IF(Draft_Import!$D204=C$1,COUNTIF(Draft_Import!$D$2:'Draft_Import'!$D204,C$1),"")</f>
        <v/>
      </c>
      <c r="E204" t="str">
        <f>IF(Draft_Import!$D204=E$1,COUNTIF(Draft_Import!$D$2:'Draft_Import'!$D204,E$1),"")</f>
        <v/>
      </c>
      <c r="G204" t="str">
        <f>IF(Draft_Import!$D204=G$1,COUNTIF(Draft_Import!$D$2:'Draft_Import'!$D204,G$1),"")</f>
        <v/>
      </c>
      <c r="I204" t="str">
        <f>IF(Draft_Import!$D204=I$1,COUNTIF(Draft_Import!$D$2:'Draft_Import'!$D204,I$1),"")</f>
        <v/>
      </c>
      <c r="K204" t="str">
        <f>IF(Draft_Import!$D204=K$1,COUNTIF(Draft_Import!$D$2:'Draft_Import'!$D204,K$1),"")</f>
        <v/>
      </c>
      <c r="M204" t="str">
        <f>IF(Draft_Import!$D204=M$1,COUNTIF(Draft_Import!$D$2:'Draft_Import'!$D204,M$1),"")</f>
        <v/>
      </c>
      <c r="O204" t="str">
        <f>IF(Draft_Import!$D204=O$1,COUNTIF(Draft_Import!$D$2:'Draft_Import'!$D204,O$1),"")</f>
        <v/>
      </c>
      <c r="Q204" t="str">
        <f>IF(Draft_Import!$D204=Q$1,COUNTIF(Draft_Import!$D$2:'Draft_Import'!$D204,Q$1),"")</f>
        <v/>
      </c>
      <c r="S204" t="str">
        <f>IF(Draft_Import!$D204=S$1,COUNTIF(Draft_Import!$D$2:'Draft_Import'!$D204,S$1),"")</f>
        <v/>
      </c>
    </row>
    <row r="205" spans="1:19" x14ac:dyDescent="0.25">
      <c r="A205" t="str">
        <f>IF(Draft_Import!$D205=A$1,COUNTIF(Draft_Import!$D$2:'Draft_Import'!$D205,A$1),"")</f>
        <v/>
      </c>
      <c r="C205" t="str">
        <f>IF(Draft_Import!$D205=C$1,COUNTIF(Draft_Import!$D$2:'Draft_Import'!$D205,C$1),"")</f>
        <v/>
      </c>
      <c r="E205" t="str">
        <f>IF(Draft_Import!$D205=E$1,COUNTIF(Draft_Import!$D$2:'Draft_Import'!$D205,E$1),"")</f>
        <v/>
      </c>
      <c r="G205" t="str">
        <f>IF(Draft_Import!$D205=G$1,COUNTIF(Draft_Import!$D$2:'Draft_Import'!$D205,G$1),"")</f>
        <v/>
      </c>
      <c r="I205" t="str">
        <f>IF(Draft_Import!$D205=I$1,COUNTIF(Draft_Import!$D$2:'Draft_Import'!$D205,I$1),"")</f>
        <v/>
      </c>
      <c r="K205" t="str">
        <f>IF(Draft_Import!$D205=K$1,COUNTIF(Draft_Import!$D$2:'Draft_Import'!$D205,K$1),"")</f>
        <v/>
      </c>
      <c r="M205" t="str">
        <f>IF(Draft_Import!$D205=M$1,COUNTIF(Draft_Import!$D$2:'Draft_Import'!$D205,M$1),"")</f>
        <v/>
      </c>
      <c r="O205" t="str">
        <f>IF(Draft_Import!$D205=O$1,COUNTIF(Draft_Import!$D$2:'Draft_Import'!$D205,O$1),"")</f>
        <v/>
      </c>
      <c r="Q205" t="str">
        <f>IF(Draft_Import!$D205=Q$1,COUNTIF(Draft_Import!$D$2:'Draft_Import'!$D205,Q$1),"")</f>
        <v/>
      </c>
      <c r="S205" t="str">
        <f>IF(Draft_Import!$D205=S$1,COUNTIF(Draft_Import!$D$2:'Draft_Import'!$D205,S$1),"")</f>
        <v/>
      </c>
    </row>
    <row r="206" spans="1:19" x14ac:dyDescent="0.25">
      <c r="A206" t="str">
        <f>IF(Draft_Import!$D206=A$1,COUNTIF(Draft_Import!$D$2:'Draft_Import'!$D206,A$1),"")</f>
        <v/>
      </c>
      <c r="C206" t="str">
        <f>IF(Draft_Import!$D206=C$1,COUNTIF(Draft_Import!$D$2:'Draft_Import'!$D206,C$1),"")</f>
        <v/>
      </c>
      <c r="E206" t="str">
        <f>IF(Draft_Import!$D206=E$1,COUNTIF(Draft_Import!$D$2:'Draft_Import'!$D206,E$1),"")</f>
        <v/>
      </c>
      <c r="G206" t="str">
        <f>IF(Draft_Import!$D206=G$1,COUNTIF(Draft_Import!$D$2:'Draft_Import'!$D206,G$1),"")</f>
        <v/>
      </c>
      <c r="I206" t="str">
        <f>IF(Draft_Import!$D206=I$1,COUNTIF(Draft_Import!$D$2:'Draft_Import'!$D206,I$1),"")</f>
        <v/>
      </c>
      <c r="K206" t="str">
        <f>IF(Draft_Import!$D206=K$1,COUNTIF(Draft_Import!$D$2:'Draft_Import'!$D206,K$1),"")</f>
        <v/>
      </c>
      <c r="M206" t="str">
        <f>IF(Draft_Import!$D206=M$1,COUNTIF(Draft_Import!$D$2:'Draft_Import'!$D206,M$1),"")</f>
        <v/>
      </c>
      <c r="O206" t="str">
        <f>IF(Draft_Import!$D206=O$1,COUNTIF(Draft_Import!$D$2:'Draft_Import'!$D206,O$1),"")</f>
        <v/>
      </c>
      <c r="Q206" t="str">
        <f>IF(Draft_Import!$D206=Q$1,COUNTIF(Draft_Import!$D$2:'Draft_Import'!$D206,Q$1),"")</f>
        <v/>
      </c>
      <c r="S206" t="str">
        <f>IF(Draft_Import!$D206=S$1,COUNTIF(Draft_Import!$D$2:'Draft_Import'!$D206,S$1),"")</f>
        <v/>
      </c>
    </row>
    <row r="207" spans="1:19" x14ac:dyDescent="0.25">
      <c r="A207" t="str">
        <f>IF(Draft_Import!$D207=A$1,COUNTIF(Draft_Import!$D$2:'Draft_Import'!$D207,A$1),"")</f>
        <v/>
      </c>
      <c r="C207" t="str">
        <f>IF(Draft_Import!$D207=C$1,COUNTIF(Draft_Import!$D$2:'Draft_Import'!$D207,C$1),"")</f>
        <v/>
      </c>
      <c r="E207" t="str">
        <f>IF(Draft_Import!$D207=E$1,COUNTIF(Draft_Import!$D$2:'Draft_Import'!$D207,E$1),"")</f>
        <v/>
      </c>
      <c r="G207" t="str">
        <f>IF(Draft_Import!$D207=G$1,COUNTIF(Draft_Import!$D$2:'Draft_Import'!$D207,G$1),"")</f>
        <v/>
      </c>
      <c r="I207" t="str">
        <f>IF(Draft_Import!$D207=I$1,COUNTIF(Draft_Import!$D$2:'Draft_Import'!$D207,I$1),"")</f>
        <v/>
      </c>
      <c r="K207" t="str">
        <f>IF(Draft_Import!$D207=K$1,COUNTIF(Draft_Import!$D$2:'Draft_Import'!$D207,K$1),"")</f>
        <v/>
      </c>
      <c r="M207" t="str">
        <f>IF(Draft_Import!$D207=M$1,COUNTIF(Draft_Import!$D$2:'Draft_Import'!$D207,M$1),"")</f>
        <v/>
      </c>
      <c r="O207" t="str">
        <f>IF(Draft_Import!$D207=O$1,COUNTIF(Draft_Import!$D$2:'Draft_Import'!$D207,O$1),"")</f>
        <v/>
      </c>
      <c r="Q207" t="str">
        <f>IF(Draft_Import!$D207=Q$1,COUNTIF(Draft_Import!$D$2:'Draft_Import'!$D207,Q$1),"")</f>
        <v/>
      </c>
      <c r="S207" t="str">
        <f>IF(Draft_Import!$D207=S$1,COUNTIF(Draft_Import!$D$2:'Draft_Import'!$D207,S$1),"")</f>
        <v/>
      </c>
    </row>
    <row r="208" spans="1:19" x14ac:dyDescent="0.25">
      <c r="A208" t="str">
        <f>IF(Draft_Import!$D208=A$1,COUNTIF(Draft_Import!$D$2:'Draft_Import'!$D208,A$1),"")</f>
        <v/>
      </c>
      <c r="C208" t="str">
        <f>IF(Draft_Import!$D208=C$1,COUNTIF(Draft_Import!$D$2:'Draft_Import'!$D208,C$1),"")</f>
        <v/>
      </c>
      <c r="E208" t="str">
        <f>IF(Draft_Import!$D208=E$1,COUNTIF(Draft_Import!$D$2:'Draft_Import'!$D208,E$1),"")</f>
        <v/>
      </c>
      <c r="G208" t="str">
        <f>IF(Draft_Import!$D208=G$1,COUNTIF(Draft_Import!$D$2:'Draft_Import'!$D208,G$1),"")</f>
        <v/>
      </c>
      <c r="I208" t="str">
        <f>IF(Draft_Import!$D208=I$1,COUNTIF(Draft_Import!$D$2:'Draft_Import'!$D208,I$1),"")</f>
        <v/>
      </c>
      <c r="K208" t="str">
        <f>IF(Draft_Import!$D208=K$1,COUNTIF(Draft_Import!$D$2:'Draft_Import'!$D208,K$1),"")</f>
        <v/>
      </c>
      <c r="M208" t="str">
        <f>IF(Draft_Import!$D208=M$1,COUNTIF(Draft_Import!$D$2:'Draft_Import'!$D208,M$1),"")</f>
        <v/>
      </c>
      <c r="O208" t="str">
        <f>IF(Draft_Import!$D208=O$1,COUNTIF(Draft_Import!$D$2:'Draft_Import'!$D208,O$1),"")</f>
        <v/>
      </c>
      <c r="Q208" t="str">
        <f>IF(Draft_Import!$D208=Q$1,COUNTIF(Draft_Import!$D$2:'Draft_Import'!$D208,Q$1),"")</f>
        <v/>
      </c>
      <c r="S208" t="str">
        <f>IF(Draft_Import!$D208=S$1,COUNTIF(Draft_Import!$D$2:'Draft_Import'!$D208,S$1),"")</f>
        <v/>
      </c>
    </row>
    <row r="209" spans="1:19" x14ac:dyDescent="0.25">
      <c r="A209" t="str">
        <f>IF(Draft_Import!$D209=A$1,COUNTIF(Draft_Import!$D$2:'Draft_Import'!$D209,A$1),"")</f>
        <v/>
      </c>
      <c r="C209" t="str">
        <f>IF(Draft_Import!$D209=C$1,COUNTIF(Draft_Import!$D$2:'Draft_Import'!$D209,C$1),"")</f>
        <v/>
      </c>
      <c r="E209" t="str">
        <f>IF(Draft_Import!$D209=E$1,COUNTIF(Draft_Import!$D$2:'Draft_Import'!$D209,E$1),"")</f>
        <v/>
      </c>
      <c r="G209" t="str">
        <f>IF(Draft_Import!$D209=G$1,COUNTIF(Draft_Import!$D$2:'Draft_Import'!$D209,G$1),"")</f>
        <v/>
      </c>
      <c r="I209" t="str">
        <f>IF(Draft_Import!$D209=I$1,COUNTIF(Draft_Import!$D$2:'Draft_Import'!$D209,I$1),"")</f>
        <v/>
      </c>
      <c r="K209" t="str">
        <f>IF(Draft_Import!$D209=K$1,COUNTIF(Draft_Import!$D$2:'Draft_Import'!$D209,K$1),"")</f>
        <v/>
      </c>
      <c r="M209" t="str">
        <f>IF(Draft_Import!$D209=M$1,COUNTIF(Draft_Import!$D$2:'Draft_Import'!$D209,M$1),"")</f>
        <v/>
      </c>
      <c r="O209" t="str">
        <f>IF(Draft_Import!$D209=O$1,COUNTIF(Draft_Import!$D$2:'Draft_Import'!$D209,O$1),"")</f>
        <v/>
      </c>
      <c r="Q209" t="str">
        <f>IF(Draft_Import!$D209=Q$1,COUNTIF(Draft_Import!$D$2:'Draft_Import'!$D209,Q$1),"")</f>
        <v/>
      </c>
      <c r="S209" t="str">
        <f>IF(Draft_Import!$D209=S$1,COUNTIF(Draft_Import!$D$2:'Draft_Import'!$D209,S$1),"")</f>
        <v/>
      </c>
    </row>
    <row r="210" spans="1:19" x14ac:dyDescent="0.25">
      <c r="A210" t="str">
        <f>IF(Draft_Import!$D210=A$1,COUNTIF(Draft_Import!$D$2:'Draft_Import'!$D210,A$1),"")</f>
        <v/>
      </c>
      <c r="C210" t="str">
        <f>IF(Draft_Import!$D210=C$1,COUNTIF(Draft_Import!$D$2:'Draft_Import'!$D210,C$1),"")</f>
        <v/>
      </c>
      <c r="E210" t="str">
        <f>IF(Draft_Import!$D210=E$1,COUNTIF(Draft_Import!$D$2:'Draft_Import'!$D210,E$1),"")</f>
        <v/>
      </c>
      <c r="G210" t="str">
        <f>IF(Draft_Import!$D210=G$1,COUNTIF(Draft_Import!$D$2:'Draft_Import'!$D210,G$1),"")</f>
        <v/>
      </c>
      <c r="I210" t="str">
        <f>IF(Draft_Import!$D210=I$1,COUNTIF(Draft_Import!$D$2:'Draft_Import'!$D210,I$1),"")</f>
        <v/>
      </c>
      <c r="K210" t="str">
        <f>IF(Draft_Import!$D210=K$1,COUNTIF(Draft_Import!$D$2:'Draft_Import'!$D210,K$1),"")</f>
        <v/>
      </c>
      <c r="M210" t="str">
        <f>IF(Draft_Import!$D210=M$1,COUNTIF(Draft_Import!$D$2:'Draft_Import'!$D210,M$1),"")</f>
        <v/>
      </c>
      <c r="O210" t="str">
        <f>IF(Draft_Import!$D210=O$1,COUNTIF(Draft_Import!$D$2:'Draft_Import'!$D210,O$1),"")</f>
        <v/>
      </c>
      <c r="Q210" t="str">
        <f>IF(Draft_Import!$D210=Q$1,COUNTIF(Draft_Import!$D$2:'Draft_Import'!$D210,Q$1),"")</f>
        <v/>
      </c>
      <c r="S210" t="str">
        <f>IF(Draft_Import!$D210=S$1,COUNTIF(Draft_Import!$D$2:'Draft_Import'!$D210,S$1),"")</f>
        <v/>
      </c>
    </row>
    <row r="211" spans="1:19" x14ac:dyDescent="0.25">
      <c r="A211" t="str">
        <f>IF(Draft_Import!$D211=A$1,COUNTIF(Draft_Import!$D$2:'Draft_Import'!$D211,A$1),"")</f>
        <v/>
      </c>
      <c r="C211" t="str">
        <f>IF(Draft_Import!$D211=C$1,COUNTIF(Draft_Import!$D$2:'Draft_Import'!$D211,C$1),"")</f>
        <v/>
      </c>
      <c r="E211" t="str">
        <f>IF(Draft_Import!$D211=E$1,COUNTIF(Draft_Import!$D$2:'Draft_Import'!$D211,E$1),"")</f>
        <v/>
      </c>
      <c r="G211" t="str">
        <f>IF(Draft_Import!$D211=G$1,COUNTIF(Draft_Import!$D$2:'Draft_Import'!$D211,G$1),"")</f>
        <v/>
      </c>
      <c r="I211" t="str">
        <f>IF(Draft_Import!$D211=I$1,COUNTIF(Draft_Import!$D$2:'Draft_Import'!$D211,I$1),"")</f>
        <v/>
      </c>
      <c r="K211" t="str">
        <f>IF(Draft_Import!$D211=K$1,COUNTIF(Draft_Import!$D$2:'Draft_Import'!$D211,K$1),"")</f>
        <v/>
      </c>
      <c r="M211" t="str">
        <f>IF(Draft_Import!$D211=M$1,COUNTIF(Draft_Import!$D$2:'Draft_Import'!$D211,M$1),"")</f>
        <v/>
      </c>
      <c r="O211" t="str">
        <f>IF(Draft_Import!$D211=O$1,COUNTIF(Draft_Import!$D$2:'Draft_Import'!$D211,O$1),"")</f>
        <v/>
      </c>
      <c r="Q211" t="str">
        <f>IF(Draft_Import!$D211=Q$1,COUNTIF(Draft_Import!$D$2:'Draft_Import'!$D211,Q$1),"")</f>
        <v/>
      </c>
      <c r="S211" t="str">
        <f>IF(Draft_Import!$D211=S$1,COUNTIF(Draft_Import!$D$2:'Draft_Import'!$D211,S$1),"")</f>
        <v/>
      </c>
    </row>
    <row r="212" spans="1:19" x14ac:dyDescent="0.25">
      <c r="A212" t="str">
        <f>IF(Draft_Import!$D212=A$1,COUNTIF(Draft_Import!$D$2:'Draft_Import'!$D212,A$1),"")</f>
        <v/>
      </c>
      <c r="C212" t="str">
        <f>IF(Draft_Import!$D212=C$1,COUNTIF(Draft_Import!$D$2:'Draft_Import'!$D212,C$1),"")</f>
        <v/>
      </c>
      <c r="E212" t="str">
        <f>IF(Draft_Import!$D212=E$1,COUNTIF(Draft_Import!$D$2:'Draft_Import'!$D212,E$1),"")</f>
        <v/>
      </c>
      <c r="G212" t="str">
        <f>IF(Draft_Import!$D212=G$1,COUNTIF(Draft_Import!$D$2:'Draft_Import'!$D212,G$1),"")</f>
        <v/>
      </c>
      <c r="I212" t="str">
        <f>IF(Draft_Import!$D212=I$1,COUNTIF(Draft_Import!$D$2:'Draft_Import'!$D212,I$1),"")</f>
        <v/>
      </c>
      <c r="K212" t="str">
        <f>IF(Draft_Import!$D212=K$1,COUNTIF(Draft_Import!$D$2:'Draft_Import'!$D212,K$1),"")</f>
        <v/>
      </c>
      <c r="M212" t="str">
        <f>IF(Draft_Import!$D212=M$1,COUNTIF(Draft_Import!$D$2:'Draft_Import'!$D212,M$1),"")</f>
        <v/>
      </c>
      <c r="O212" t="str">
        <f>IF(Draft_Import!$D212=O$1,COUNTIF(Draft_Import!$D$2:'Draft_Import'!$D212,O$1),"")</f>
        <v/>
      </c>
      <c r="Q212" t="str">
        <f>IF(Draft_Import!$D212=Q$1,COUNTIF(Draft_Import!$D$2:'Draft_Import'!$D212,Q$1),"")</f>
        <v/>
      </c>
      <c r="S212" t="str">
        <f>IF(Draft_Import!$D212=S$1,COUNTIF(Draft_Import!$D$2:'Draft_Import'!$D212,S$1),"")</f>
        <v/>
      </c>
    </row>
    <row r="213" spans="1:19" x14ac:dyDescent="0.25">
      <c r="A213" t="str">
        <f>IF(Draft_Import!$D213=A$1,COUNTIF(Draft_Import!$D$2:'Draft_Import'!$D213,A$1),"")</f>
        <v/>
      </c>
      <c r="C213" t="str">
        <f>IF(Draft_Import!$D213=C$1,COUNTIF(Draft_Import!$D$2:'Draft_Import'!$D213,C$1),"")</f>
        <v/>
      </c>
      <c r="E213" t="str">
        <f>IF(Draft_Import!$D213=E$1,COUNTIF(Draft_Import!$D$2:'Draft_Import'!$D213,E$1),"")</f>
        <v/>
      </c>
      <c r="G213" t="str">
        <f>IF(Draft_Import!$D213=G$1,COUNTIF(Draft_Import!$D$2:'Draft_Import'!$D213,G$1),"")</f>
        <v/>
      </c>
      <c r="I213" t="str">
        <f>IF(Draft_Import!$D213=I$1,COUNTIF(Draft_Import!$D$2:'Draft_Import'!$D213,I$1),"")</f>
        <v/>
      </c>
      <c r="K213" t="str">
        <f>IF(Draft_Import!$D213=K$1,COUNTIF(Draft_Import!$D$2:'Draft_Import'!$D213,K$1),"")</f>
        <v/>
      </c>
      <c r="M213" t="str">
        <f>IF(Draft_Import!$D213=M$1,COUNTIF(Draft_Import!$D$2:'Draft_Import'!$D213,M$1),"")</f>
        <v/>
      </c>
      <c r="O213" t="str">
        <f>IF(Draft_Import!$D213=O$1,COUNTIF(Draft_Import!$D$2:'Draft_Import'!$D213,O$1),"")</f>
        <v/>
      </c>
      <c r="Q213" t="str">
        <f>IF(Draft_Import!$D213=Q$1,COUNTIF(Draft_Import!$D$2:'Draft_Import'!$D213,Q$1),"")</f>
        <v/>
      </c>
      <c r="S213" t="str">
        <f>IF(Draft_Import!$D213=S$1,COUNTIF(Draft_Import!$D$2:'Draft_Import'!$D213,S$1),"")</f>
        <v/>
      </c>
    </row>
    <row r="214" spans="1:19" x14ac:dyDescent="0.25">
      <c r="A214" t="str">
        <f>IF(Draft_Import!$D214=A$1,COUNTIF(Draft_Import!$D$2:'Draft_Import'!$D214,A$1),"")</f>
        <v/>
      </c>
      <c r="C214" t="str">
        <f>IF(Draft_Import!$D214=C$1,COUNTIF(Draft_Import!$D$2:'Draft_Import'!$D214,C$1),"")</f>
        <v/>
      </c>
      <c r="E214" t="str">
        <f>IF(Draft_Import!$D214=E$1,COUNTIF(Draft_Import!$D$2:'Draft_Import'!$D214,E$1),"")</f>
        <v/>
      </c>
      <c r="G214" t="str">
        <f>IF(Draft_Import!$D214=G$1,COUNTIF(Draft_Import!$D$2:'Draft_Import'!$D214,G$1),"")</f>
        <v/>
      </c>
      <c r="I214" t="str">
        <f>IF(Draft_Import!$D214=I$1,COUNTIF(Draft_Import!$D$2:'Draft_Import'!$D214,I$1),"")</f>
        <v/>
      </c>
      <c r="K214" t="str">
        <f>IF(Draft_Import!$D214=K$1,COUNTIF(Draft_Import!$D$2:'Draft_Import'!$D214,K$1),"")</f>
        <v/>
      </c>
      <c r="M214" t="str">
        <f>IF(Draft_Import!$D214=M$1,COUNTIF(Draft_Import!$D$2:'Draft_Import'!$D214,M$1),"")</f>
        <v/>
      </c>
      <c r="O214" t="str">
        <f>IF(Draft_Import!$D214=O$1,COUNTIF(Draft_Import!$D$2:'Draft_Import'!$D214,O$1),"")</f>
        <v/>
      </c>
      <c r="Q214" t="str">
        <f>IF(Draft_Import!$D214=Q$1,COUNTIF(Draft_Import!$D$2:'Draft_Import'!$D214,Q$1),"")</f>
        <v/>
      </c>
      <c r="S214" t="str">
        <f>IF(Draft_Import!$D214=S$1,COUNTIF(Draft_Import!$D$2:'Draft_Import'!$D214,S$1),"")</f>
        <v/>
      </c>
    </row>
    <row r="215" spans="1:19" x14ac:dyDescent="0.25">
      <c r="A215" t="str">
        <f>IF(Draft_Import!$D215=A$1,COUNTIF(Draft_Import!$D$2:'Draft_Import'!$D215,A$1),"")</f>
        <v/>
      </c>
      <c r="C215" t="str">
        <f>IF(Draft_Import!$D215=C$1,COUNTIF(Draft_Import!$D$2:'Draft_Import'!$D215,C$1),"")</f>
        <v/>
      </c>
      <c r="E215" t="str">
        <f>IF(Draft_Import!$D215=E$1,COUNTIF(Draft_Import!$D$2:'Draft_Import'!$D215,E$1),"")</f>
        <v/>
      </c>
      <c r="G215" t="str">
        <f>IF(Draft_Import!$D215=G$1,COUNTIF(Draft_Import!$D$2:'Draft_Import'!$D215,G$1),"")</f>
        <v/>
      </c>
      <c r="I215" t="str">
        <f>IF(Draft_Import!$D215=I$1,COUNTIF(Draft_Import!$D$2:'Draft_Import'!$D215,I$1),"")</f>
        <v/>
      </c>
      <c r="K215" t="str">
        <f>IF(Draft_Import!$D215=K$1,COUNTIF(Draft_Import!$D$2:'Draft_Import'!$D215,K$1),"")</f>
        <v/>
      </c>
      <c r="M215" t="str">
        <f>IF(Draft_Import!$D215=M$1,COUNTIF(Draft_Import!$D$2:'Draft_Import'!$D215,M$1),"")</f>
        <v/>
      </c>
      <c r="O215" t="str">
        <f>IF(Draft_Import!$D215=O$1,COUNTIF(Draft_Import!$D$2:'Draft_Import'!$D215,O$1),"")</f>
        <v/>
      </c>
      <c r="Q215" t="str">
        <f>IF(Draft_Import!$D215=Q$1,COUNTIF(Draft_Import!$D$2:'Draft_Import'!$D215,Q$1),"")</f>
        <v/>
      </c>
      <c r="S215" t="str">
        <f>IF(Draft_Import!$D215=S$1,COUNTIF(Draft_Import!$D$2:'Draft_Import'!$D215,S$1),"")</f>
        <v/>
      </c>
    </row>
    <row r="216" spans="1:19" x14ac:dyDescent="0.25">
      <c r="A216" t="str">
        <f>IF(Draft_Import!$D216=A$1,COUNTIF(Draft_Import!$D$2:'Draft_Import'!$D216,A$1),"")</f>
        <v/>
      </c>
      <c r="C216" t="str">
        <f>IF(Draft_Import!$D216=C$1,COUNTIF(Draft_Import!$D$2:'Draft_Import'!$D216,C$1),"")</f>
        <v/>
      </c>
      <c r="E216" t="str">
        <f>IF(Draft_Import!$D216=E$1,COUNTIF(Draft_Import!$D$2:'Draft_Import'!$D216,E$1),"")</f>
        <v/>
      </c>
      <c r="G216" t="str">
        <f>IF(Draft_Import!$D216=G$1,COUNTIF(Draft_Import!$D$2:'Draft_Import'!$D216,G$1),"")</f>
        <v/>
      </c>
      <c r="I216" t="str">
        <f>IF(Draft_Import!$D216=I$1,COUNTIF(Draft_Import!$D$2:'Draft_Import'!$D216,I$1),"")</f>
        <v/>
      </c>
      <c r="K216" t="str">
        <f>IF(Draft_Import!$D216=K$1,COUNTIF(Draft_Import!$D$2:'Draft_Import'!$D216,K$1),"")</f>
        <v/>
      </c>
      <c r="M216" t="str">
        <f>IF(Draft_Import!$D216=M$1,COUNTIF(Draft_Import!$D$2:'Draft_Import'!$D216,M$1),"")</f>
        <v/>
      </c>
      <c r="O216" t="str">
        <f>IF(Draft_Import!$D216=O$1,COUNTIF(Draft_Import!$D$2:'Draft_Import'!$D216,O$1),"")</f>
        <v/>
      </c>
      <c r="Q216" t="str">
        <f>IF(Draft_Import!$D216=Q$1,COUNTIF(Draft_Import!$D$2:'Draft_Import'!$D216,Q$1),"")</f>
        <v/>
      </c>
      <c r="S216" t="str">
        <f>IF(Draft_Import!$D216=S$1,COUNTIF(Draft_Import!$D$2:'Draft_Import'!$D216,S$1),"")</f>
        <v/>
      </c>
    </row>
    <row r="217" spans="1:19" x14ac:dyDescent="0.25">
      <c r="A217" t="str">
        <f>IF(Draft_Import!$D217=A$1,COUNTIF(Draft_Import!$D$2:'Draft_Import'!$D217,A$1),"")</f>
        <v/>
      </c>
      <c r="C217" t="str">
        <f>IF(Draft_Import!$D217=C$1,COUNTIF(Draft_Import!$D$2:'Draft_Import'!$D217,C$1),"")</f>
        <v/>
      </c>
      <c r="E217" t="str">
        <f>IF(Draft_Import!$D217=E$1,COUNTIF(Draft_Import!$D$2:'Draft_Import'!$D217,E$1),"")</f>
        <v/>
      </c>
      <c r="G217" t="str">
        <f>IF(Draft_Import!$D217=G$1,COUNTIF(Draft_Import!$D$2:'Draft_Import'!$D217,G$1),"")</f>
        <v/>
      </c>
      <c r="I217" t="str">
        <f>IF(Draft_Import!$D217=I$1,COUNTIF(Draft_Import!$D$2:'Draft_Import'!$D217,I$1),"")</f>
        <v/>
      </c>
      <c r="K217" t="str">
        <f>IF(Draft_Import!$D217=K$1,COUNTIF(Draft_Import!$D$2:'Draft_Import'!$D217,K$1),"")</f>
        <v/>
      </c>
      <c r="M217" t="str">
        <f>IF(Draft_Import!$D217=M$1,COUNTIF(Draft_Import!$D$2:'Draft_Import'!$D217,M$1),"")</f>
        <v/>
      </c>
      <c r="O217" t="str">
        <f>IF(Draft_Import!$D217=O$1,COUNTIF(Draft_Import!$D$2:'Draft_Import'!$D217,O$1),"")</f>
        <v/>
      </c>
      <c r="Q217" t="str">
        <f>IF(Draft_Import!$D217=Q$1,COUNTIF(Draft_Import!$D$2:'Draft_Import'!$D217,Q$1),"")</f>
        <v/>
      </c>
      <c r="S217" t="str">
        <f>IF(Draft_Import!$D217=S$1,COUNTIF(Draft_Import!$D$2:'Draft_Import'!$D217,S$1),"")</f>
        <v/>
      </c>
    </row>
    <row r="218" spans="1:19" x14ac:dyDescent="0.25">
      <c r="A218" t="str">
        <f>IF(Draft_Import!$D218=A$1,COUNTIF(Draft_Import!$D$2:'Draft_Import'!$D218,A$1),"")</f>
        <v/>
      </c>
      <c r="C218" t="str">
        <f>IF(Draft_Import!$D218=C$1,COUNTIF(Draft_Import!$D$2:'Draft_Import'!$D218,C$1),"")</f>
        <v/>
      </c>
      <c r="E218" t="str">
        <f>IF(Draft_Import!$D218=E$1,COUNTIF(Draft_Import!$D$2:'Draft_Import'!$D218,E$1),"")</f>
        <v/>
      </c>
      <c r="G218" t="str">
        <f>IF(Draft_Import!$D218=G$1,COUNTIF(Draft_Import!$D$2:'Draft_Import'!$D218,G$1),"")</f>
        <v/>
      </c>
      <c r="I218" t="str">
        <f>IF(Draft_Import!$D218=I$1,COUNTIF(Draft_Import!$D$2:'Draft_Import'!$D218,I$1),"")</f>
        <v/>
      </c>
      <c r="K218" t="str">
        <f>IF(Draft_Import!$D218=K$1,COUNTIF(Draft_Import!$D$2:'Draft_Import'!$D218,K$1),"")</f>
        <v/>
      </c>
      <c r="M218" t="str">
        <f>IF(Draft_Import!$D218=M$1,COUNTIF(Draft_Import!$D$2:'Draft_Import'!$D218,M$1),"")</f>
        <v/>
      </c>
      <c r="O218" t="str">
        <f>IF(Draft_Import!$D218=O$1,COUNTIF(Draft_Import!$D$2:'Draft_Import'!$D218,O$1),"")</f>
        <v/>
      </c>
      <c r="Q218" t="str">
        <f>IF(Draft_Import!$D218=Q$1,COUNTIF(Draft_Import!$D$2:'Draft_Import'!$D218,Q$1),"")</f>
        <v/>
      </c>
      <c r="S218" t="str">
        <f>IF(Draft_Import!$D218=S$1,COUNTIF(Draft_Import!$D$2:'Draft_Import'!$D218,S$1),"")</f>
        <v/>
      </c>
    </row>
    <row r="219" spans="1:19" x14ac:dyDescent="0.25">
      <c r="A219" t="str">
        <f>IF(Draft_Import!$D219=A$1,COUNTIF(Draft_Import!$D$2:'Draft_Import'!$D219,A$1),"")</f>
        <v/>
      </c>
      <c r="C219" t="str">
        <f>IF(Draft_Import!$D219=C$1,COUNTIF(Draft_Import!$D$2:'Draft_Import'!$D219,C$1),"")</f>
        <v/>
      </c>
      <c r="E219" t="str">
        <f>IF(Draft_Import!$D219=E$1,COUNTIF(Draft_Import!$D$2:'Draft_Import'!$D219,E$1),"")</f>
        <v/>
      </c>
      <c r="G219" t="str">
        <f>IF(Draft_Import!$D219=G$1,COUNTIF(Draft_Import!$D$2:'Draft_Import'!$D219,G$1),"")</f>
        <v/>
      </c>
      <c r="I219" t="str">
        <f>IF(Draft_Import!$D219=I$1,COUNTIF(Draft_Import!$D$2:'Draft_Import'!$D219,I$1),"")</f>
        <v/>
      </c>
      <c r="K219" t="str">
        <f>IF(Draft_Import!$D219=K$1,COUNTIF(Draft_Import!$D$2:'Draft_Import'!$D219,K$1),"")</f>
        <v/>
      </c>
      <c r="M219" t="str">
        <f>IF(Draft_Import!$D219=M$1,COUNTIF(Draft_Import!$D$2:'Draft_Import'!$D219,M$1),"")</f>
        <v/>
      </c>
      <c r="O219" t="str">
        <f>IF(Draft_Import!$D219=O$1,COUNTIF(Draft_Import!$D$2:'Draft_Import'!$D219,O$1),"")</f>
        <v/>
      </c>
      <c r="Q219" t="str">
        <f>IF(Draft_Import!$D219=Q$1,COUNTIF(Draft_Import!$D$2:'Draft_Import'!$D219,Q$1),"")</f>
        <v/>
      </c>
      <c r="S219" t="str">
        <f>IF(Draft_Import!$D219=S$1,COUNTIF(Draft_Import!$D$2:'Draft_Import'!$D219,S$1),"")</f>
        <v/>
      </c>
    </row>
    <row r="220" spans="1:19" x14ac:dyDescent="0.25">
      <c r="A220" t="str">
        <f>IF(Draft_Import!$D220=A$1,COUNTIF(Draft_Import!$D$2:'Draft_Import'!$D220,A$1),"")</f>
        <v/>
      </c>
      <c r="C220" t="str">
        <f>IF(Draft_Import!$D220=C$1,COUNTIF(Draft_Import!$D$2:'Draft_Import'!$D220,C$1),"")</f>
        <v/>
      </c>
      <c r="E220" t="str">
        <f>IF(Draft_Import!$D220=E$1,COUNTIF(Draft_Import!$D$2:'Draft_Import'!$D220,E$1),"")</f>
        <v/>
      </c>
      <c r="G220" t="str">
        <f>IF(Draft_Import!$D220=G$1,COUNTIF(Draft_Import!$D$2:'Draft_Import'!$D220,G$1),"")</f>
        <v/>
      </c>
      <c r="I220" t="str">
        <f>IF(Draft_Import!$D220=I$1,COUNTIF(Draft_Import!$D$2:'Draft_Import'!$D220,I$1),"")</f>
        <v/>
      </c>
      <c r="K220" t="str">
        <f>IF(Draft_Import!$D220=K$1,COUNTIF(Draft_Import!$D$2:'Draft_Import'!$D220,K$1),"")</f>
        <v/>
      </c>
      <c r="M220" t="str">
        <f>IF(Draft_Import!$D220=M$1,COUNTIF(Draft_Import!$D$2:'Draft_Import'!$D220,M$1),"")</f>
        <v/>
      </c>
      <c r="O220" t="str">
        <f>IF(Draft_Import!$D220=O$1,COUNTIF(Draft_Import!$D$2:'Draft_Import'!$D220,O$1),"")</f>
        <v/>
      </c>
      <c r="Q220" t="str">
        <f>IF(Draft_Import!$D220=Q$1,COUNTIF(Draft_Import!$D$2:'Draft_Import'!$D220,Q$1),"")</f>
        <v/>
      </c>
      <c r="S220" t="str">
        <f>IF(Draft_Import!$D220=S$1,COUNTIF(Draft_Import!$D$2:'Draft_Import'!$D220,S$1),"")</f>
        <v/>
      </c>
    </row>
    <row r="221" spans="1:19" x14ac:dyDescent="0.25">
      <c r="A221" t="str">
        <f>IF(Draft_Import!$D221=A$1,COUNTIF(Draft_Import!$D$2:'Draft_Import'!$D221,A$1),"")</f>
        <v/>
      </c>
      <c r="C221" t="str">
        <f>IF(Draft_Import!$D221=C$1,COUNTIF(Draft_Import!$D$2:'Draft_Import'!$D221,C$1),"")</f>
        <v/>
      </c>
      <c r="E221" t="str">
        <f>IF(Draft_Import!$D221=E$1,COUNTIF(Draft_Import!$D$2:'Draft_Import'!$D221,E$1),"")</f>
        <v/>
      </c>
      <c r="G221" t="str">
        <f>IF(Draft_Import!$D221=G$1,COUNTIF(Draft_Import!$D$2:'Draft_Import'!$D221,G$1),"")</f>
        <v/>
      </c>
      <c r="I221" t="str">
        <f>IF(Draft_Import!$D221=I$1,COUNTIF(Draft_Import!$D$2:'Draft_Import'!$D221,I$1),"")</f>
        <v/>
      </c>
      <c r="K221" t="str">
        <f>IF(Draft_Import!$D221=K$1,COUNTIF(Draft_Import!$D$2:'Draft_Import'!$D221,K$1),"")</f>
        <v/>
      </c>
      <c r="M221" t="str">
        <f>IF(Draft_Import!$D221=M$1,COUNTIF(Draft_Import!$D$2:'Draft_Import'!$D221,M$1),"")</f>
        <v/>
      </c>
      <c r="O221" t="str">
        <f>IF(Draft_Import!$D221=O$1,COUNTIF(Draft_Import!$D$2:'Draft_Import'!$D221,O$1),"")</f>
        <v/>
      </c>
      <c r="Q221" t="str">
        <f>IF(Draft_Import!$D221=Q$1,COUNTIF(Draft_Import!$D$2:'Draft_Import'!$D221,Q$1),"")</f>
        <v/>
      </c>
      <c r="S221" t="str">
        <f>IF(Draft_Import!$D221=S$1,COUNTIF(Draft_Import!$D$2:'Draft_Import'!$D221,S$1),"")</f>
        <v/>
      </c>
    </row>
    <row r="222" spans="1:19" x14ac:dyDescent="0.25">
      <c r="A222" t="str">
        <f>IF(Draft_Import!$D222=A$1,COUNTIF(Draft_Import!$D$2:'Draft_Import'!$D222,A$1),"")</f>
        <v/>
      </c>
      <c r="C222" t="str">
        <f>IF(Draft_Import!$D222=C$1,COUNTIF(Draft_Import!$D$2:'Draft_Import'!$D222,C$1),"")</f>
        <v/>
      </c>
      <c r="E222" t="str">
        <f>IF(Draft_Import!$D222=E$1,COUNTIF(Draft_Import!$D$2:'Draft_Import'!$D222,E$1),"")</f>
        <v/>
      </c>
      <c r="G222" t="str">
        <f>IF(Draft_Import!$D222=G$1,COUNTIF(Draft_Import!$D$2:'Draft_Import'!$D222,G$1),"")</f>
        <v/>
      </c>
      <c r="I222" t="str">
        <f>IF(Draft_Import!$D222=I$1,COUNTIF(Draft_Import!$D$2:'Draft_Import'!$D222,I$1),"")</f>
        <v/>
      </c>
      <c r="K222" t="str">
        <f>IF(Draft_Import!$D222=K$1,COUNTIF(Draft_Import!$D$2:'Draft_Import'!$D222,K$1),"")</f>
        <v/>
      </c>
      <c r="M222" t="str">
        <f>IF(Draft_Import!$D222=M$1,COUNTIF(Draft_Import!$D$2:'Draft_Import'!$D222,M$1),"")</f>
        <v/>
      </c>
      <c r="O222" t="str">
        <f>IF(Draft_Import!$D222=O$1,COUNTIF(Draft_Import!$D$2:'Draft_Import'!$D222,O$1),"")</f>
        <v/>
      </c>
      <c r="Q222" t="str">
        <f>IF(Draft_Import!$D222=Q$1,COUNTIF(Draft_Import!$D$2:'Draft_Import'!$D222,Q$1),"")</f>
        <v/>
      </c>
      <c r="S222" t="str">
        <f>IF(Draft_Import!$D222=S$1,COUNTIF(Draft_Import!$D$2:'Draft_Import'!$D222,S$1),"")</f>
        <v/>
      </c>
    </row>
    <row r="223" spans="1:19" x14ac:dyDescent="0.25">
      <c r="A223" t="str">
        <f>IF(Draft_Import!$D223=A$1,COUNTIF(Draft_Import!$D$2:'Draft_Import'!$D223,A$1),"")</f>
        <v/>
      </c>
      <c r="C223" t="str">
        <f>IF(Draft_Import!$D223=C$1,COUNTIF(Draft_Import!$D$2:'Draft_Import'!$D223,C$1),"")</f>
        <v/>
      </c>
      <c r="E223" t="str">
        <f>IF(Draft_Import!$D223=E$1,COUNTIF(Draft_Import!$D$2:'Draft_Import'!$D223,E$1),"")</f>
        <v/>
      </c>
      <c r="G223" t="str">
        <f>IF(Draft_Import!$D223=G$1,COUNTIF(Draft_Import!$D$2:'Draft_Import'!$D223,G$1),"")</f>
        <v/>
      </c>
      <c r="I223" t="str">
        <f>IF(Draft_Import!$D223=I$1,COUNTIF(Draft_Import!$D$2:'Draft_Import'!$D223,I$1),"")</f>
        <v/>
      </c>
      <c r="K223" t="str">
        <f>IF(Draft_Import!$D223=K$1,COUNTIF(Draft_Import!$D$2:'Draft_Import'!$D223,K$1),"")</f>
        <v/>
      </c>
      <c r="M223" t="str">
        <f>IF(Draft_Import!$D223=M$1,COUNTIF(Draft_Import!$D$2:'Draft_Import'!$D223,M$1),"")</f>
        <v/>
      </c>
      <c r="O223" t="str">
        <f>IF(Draft_Import!$D223=O$1,COUNTIF(Draft_Import!$D$2:'Draft_Import'!$D223,O$1),"")</f>
        <v/>
      </c>
      <c r="Q223" t="str">
        <f>IF(Draft_Import!$D223=Q$1,COUNTIF(Draft_Import!$D$2:'Draft_Import'!$D223,Q$1),"")</f>
        <v/>
      </c>
      <c r="S223" t="str">
        <f>IF(Draft_Import!$D223=S$1,COUNTIF(Draft_Import!$D$2:'Draft_Import'!$D223,S$1),"")</f>
        <v/>
      </c>
    </row>
    <row r="224" spans="1:19" x14ac:dyDescent="0.25">
      <c r="A224" t="str">
        <f>IF(Draft_Import!$D224=A$1,COUNTIF(Draft_Import!$D$2:'Draft_Import'!$D224,A$1),"")</f>
        <v/>
      </c>
      <c r="C224" t="str">
        <f>IF(Draft_Import!$D224=C$1,COUNTIF(Draft_Import!$D$2:'Draft_Import'!$D224,C$1),"")</f>
        <v/>
      </c>
      <c r="E224" t="str">
        <f>IF(Draft_Import!$D224=E$1,COUNTIF(Draft_Import!$D$2:'Draft_Import'!$D224,E$1),"")</f>
        <v/>
      </c>
      <c r="G224" t="str">
        <f>IF(Draft_Import!$D224=G$1,COUNTIF(Draft_Import!$D$2:'Draft_Import'!$D224,G$1),"")</f>
        <v/>
      </c>
      <c r="I224" t="str">
        <f>IF(Draft_Import!$D224=I$1,COUNTIF(Draft_Import!$D$2:'Draft_Import'!$D224,I$1),"")</f>
        <v/>
      </c>
      <c r="K224" t="str">
        <f>IF(Draft_Import!$D224=K$1,COUNTIF(Draft_Import!$D$2:'Draft_Import'!$D224,K$1),"")</f>
        <v/>
      </c>
      <c r="M224" t="str">
        <f>IF(Draft_Import!$D224=M$1,COUNTIF(Draft_Import!$D$2:'Draft_Import'!$D224,M$1),"")</f>
        <v/>
      </c>
      <c r="O224" t="str">
        <f>IF(Draft_Import!$D224=O$1,COUNTIF(Draft_Import!$D$2:'Draft_Import'!$D224,O$1),"")</f>
        <v/>
      </c>
      <c r="Q224" t="str">
        <f>IF(Draft_Import!$D224=Q$1,COUNTIF(Draft_Import!$D$2:'Draft_Import'!$D224,Q$1),"")</f>
        <v/>
      </c>
      <c r="S224" t="str">
        <f>IF(Draft_Import!$D224=S$1,COUNTIF(Draft_Import!$D$2:'Draft_Import'!$D224,S$1),"")</f>
        <v/>
      </c>
    </row>
    <row r="225" spans="1:19" x14ac:dyDescent="0.25">
      <c r="A225" t="str">
        <f>IF(Draft_Import!$D225=A$1,COUNTIF(Draft_Import!$D$2:'Draft_Import'!$D225,A$1),"")</f>
        <v/>
      </c>
      <c r="C225" t="str">
        <f>IF(Draft_Import!$D225=C$1,COUNTIF(Draft_Import!$D$2:'Draft_Import'!$D225,C$1),"")</f>
        <v/>
      </c>
      <c r="E225" t="str">
        <f>IF(Draft_Import!$D225=E$1,COUNTIF(Draft_Import!$D$2:'Draft_Import'!$D225,E$1),"")</f>
        <v/>
      </c>
      <c r="G225" t="str">
        <f>IF(Draft_Import!$D225=G$1,COUNTIF(Draft_Import!$D$2:'Draft_Import'!$D225,G$1),"")</f>
        <v/>
      </c>
      <c r="I225" t="str">
        <f>IF(Draft_Import!$D225=I$1,COUNTIF(Draft_Import!$D$2:'Draft_Import'!$D225,I$1),"")</f>
        <v/>
      </c>
      <c r="K225" t="str">
        <f>IF(Draft_Import!$D225=K$1,COUNTIF(Draft_Import!$D$2:'Draft_Import'!$D225,K$1),"")</f>
        <v/>
      </c>
      <c r="M225" t="str">
        <f>IF(Draft_Import!$D225=M$1,COUNTIF(Draft_Import!$D$2:'Draft_Import'!$D225,M$1),"")</f>
        <v/>
      </c>
      <c r="O225" t="str">
        <f>IF(Draft_Import!$D225=O$1,COUNTIF(Draft_Import!$D$2:'Draft_Import'!$D225,O$1),"")</f>
        <v/>
      </c>
      <c r="Q225" t="str">
        <f>IF(Draft_Import!$D225=Q$1,COUNTIF(Draft_Import!$D$2:'Draft_Import'!$D225,Q$1),"")</f>
        <v/>
      </c>
      <c r="S225" t="str">
        <f>IF(Draft_Import!$D225=S$1,COUNTIF(Draft_Import!$D$2:'Draft_Import'!$D225,S$1),"")</f>
        <v/>
      </c>
    </row>
    <row r="226" spans="1:19" x14ac:dyDescent="0.25">
      <c r="A226" t="str">
        <f>IF(Draft_Import!$D226=A$1,COUNTIF(Draft_Import!$D$2:'Draft_Import'!$D226,A$1),"")</f>
        <v/>
      </c>
      <c r="C226" t="str">
        <f>IF(Draft_Import!$D226=C$1,COUNTIF(Draft_Import!$D$2:'Draft_Import'!$D226,C$1),"")</f>
        <v/>
      </c>
      <c r="E226" t="str">
        <f>IF(Draft_Import!$D226=E$1,COUNTIF(Draft_Import!$D$2:'Draft_Import'!$D226,E$1),"")</f>
        <v/>
      </c>
      <c r="G226" t="str">
        <f>IF(Draft_Import!$D226=G$1,COUNTIF(Draft_Import!$D$2:'Draft_Import'!$D226,G$1),"")</f>
        <v/>
      </c>
      <c r="I226" t="str">
        <f>IF(Draft_Import!$D226=I$1,COUNTIF(Draft_Import!$D$2:'Draft_Import'!$D226,I$1),"")</f>
        <v/>
      </c>
      <c r="K226" t="str">
        <f>IF(Draft_Import!$D226=K$1,COUNTIF(Draft_Import!$D$2:'Draft_Import'!$D226,K$1),"")</f>
        <v/>
      </c>
      <c r="M226" t="str">
        <f>IF(Draft_Import!$D226=M$1,COUNTIF(Draft_Import!$D$2:'Draft_Import'!$D226,M$1),"")</f>
        <v/>
      </c>
      <c r="O226" t="str">
        <f>IF(Draft_Import!$D226=O$1,COUNTIF(Draft_Import!$D$2:'Draft_Import'!$D226,O$1),"")</f>
        <v/>
      </c>
      <c r="Q226" t="str">
        <f>IF(Draft_Import!$D226=Q$1,COUNTIF(Draft_Import!$D$2:'Draft_Import'!$D226,Q$1),"")</f>
        <v/>
      </c>
      <c r="S226" t="str">
        <f>IF(Draft_Import!$D226=S$1,COUNTIF(Draft_Import!$D$2:'Draft_Import'!$D226,S$1),"")</f>
        <v/>
      </c>
    </row>
    <row r="227" spans="1:19" x14ac:dyDescent="0.25">
      <c r="A227" t="str">
        <f>IF(Draft_Import!$D227=A$1,COUNTIF(Draft_Import!$D$2:'Draft_Import'!$D227,A$1),"")</f>
        <v/>
      </c>
      <c r="C227" t="str">
        <f>IF(Draft_Import!$D227=C$1,COUNTIF(Draft_Import!$D$2:'Draft_Import'!$D227,C$1),"")</f>
        <v/>
      </c>
      <c r="E227" t="str">
        <f>IF(Draft_Import!$D227=E$1,COUNTIF(Draft_Import!$D$2:'Draft_Import'!$D227,E$1),"")</f>
        <v/>
      </c>
      <c r="G227" t="str">
        <f>IF(Draft_Import!$D227=G$1,COUNTIF(Draft_Import!$D$2:'Draft_Import'!$D227,G$1),"")</f>
        <v/>
      </c>
      <c r="I227" t="str">
        <f>IF(Draft_Import!$D227=I$1,COUNTIF(Draft_Import!$D$2:'Draft_Import'!$D227,I$1),"")</f>
        <v/>
      </c>
      <c r="K227" t="str">
        <f>IF(Draft_Import!$D227=K$1,COUNTIF(Draft_Import!$D$2:'Draft_Import'!$D227,K$1),"")</f>
        <v/>
      </c>
      <c r="M227" t="str">
        <f>IF(Draft_Import!$D227=M$1,COUNTIF(Draft_Import!$D$2:'Draft_Import'!$D227,M$1),"")</f>
        <v/>
      </c>
      <c r="O227" t="str">
        <f>IF(Draft_Import!$D227=O$1,COUNTIF(Draft_Import!$D$2:'Draft_Import'!$D227,O$1),"")</f>
        <v/>
      </c>
      <c r="Q227" t="str">
        <f>IF(Draft_Import!$D227=Q$1,COUNTIF(Draft_Import!$D$2:'Draft_Import'!$D227,Q$1),"")</f>
        <v/>
      </c>
      <c r="S227" t="str">
        <f>IF(Draft_Import!$D227=S$1,COUNTIF(Draft_Import!$D$2:'Draft_Import'!$D227,S$1),"")</f>
        <v/>
      </c>
    </row>
    <row r="228" spans="1:19" x14ac:dyDescent="0.25">
      <c r="A228" t="str">
        <f>IF(Draft_Import!$D228=A$1,COUNTIF(Draft_Import!$D$2:'Draft_Import'!$D228,A$1),"")</f>
        <v/>
      </c>
      <c r="C228" t="str">
        <f>IF(Draft_Import!$D228=C$1,COUNTIF(Draft_Import!$D$2:'Draft_Import'!$D228,C$1),"")</f>
        <v/>
      </c>
      <c r="E228" t="str">
        <f>IF(Draft_Import!$D228=E$1,COUNTIF(Draft_Import!$D$2:'Draft_Import'!$D228,E$1),"")</f>
        <v/>
      </c>
      <c r="G228" t="str">
        <f>IF(Draft_Import!$D228=G$1,COUNTIF(Draft_Import!$D$2:'Draft_Import'!$D228,G$1),"")</f>
        <v/>
      </c>
      <c r="I228" t="str">
        <f>IF(Draft_Import!$D228=I$1,COUNTIF(Draft_Import!$D$2:'Draft_Import'!$D228,I$1),"")</f>
        <v/>
      </c>
      <c r="K228" t="str">
        <f>IF(Draft_Import!$D228=K$1,COUNTIF(Draft_Import!$D$2:'Draft_Import'!$D228,K$1),"")</f>
        <v/>
      </c>
      <c r="M228" t="str">
        <f>IF(Draft_Import!$D228=M$1,COUNTIF(Draft_Import!$D$2:'Draft_Import'!$D228,M$1),"")</f>
        <v/>
      </c>
      <c r="O228" t="str">
        <f>IF(Draft_Import!$D228=O$1,COUNTIF(Draft_Import!$D$2:'Draft_Import'!$D228,O$1),"")</f>
        <v/>
      </c>
      <c r="Q228" t="str">
        <f>IF(Draft_Import!$D228=Q$1,COUNTIF(Draft_Import!$D$2:'Draft_Import'!$D228,Q$1),"")</f>
        <v/>
      </c>
      <c r="S228" t="str">
        <f>IF(Draft_Import!$D228=S$1,COUNTIF(Draft_Import!$D$2:'Draft_Import'!$D228,S$1),"")</f>
        <v/>
      </c>
    </row>
    <row r="229" spans="1:19" x14ac:dyDescent="0.25">
      <c r="A229" t="str">
        <f>IF(Draft_Import!$D229=A$1,COUNTIF(Draft_Import!$D$2:'Draft_Import'!$D229,A$1),"")</f>
        <v/>
      </c>
      <c r="C229" t="str">
        <f>IF(Draft_Import!$D229=C$1,COUNTIF(Draft_Import!$D$2:'Draft_Import'!$D229,C$1),"")</f>
        <v/>
      </c>
      <c r="E229" t="str">
        <f>IF(Draft_Import!$D229=E$1,COUNTIF(Draft_Import!$D$2:'Draft_Import'!$D229,E$1),"")</f>
        <v/>
      </c>
      <c r="G229" t="str">
        <f>IF(Draft_Import!$D229=G$1,COUNTIF(Draft_Import!$D$2:'Draft_Import'!$D229,G$1),"")</f>
        <v/>
      </c>
      <c r="I229" t="str">
        <f>IF(Draft_Import!$D229=I$1,COUNTIF(Draft_Import!$D$2:'Draft_Import'!$D229,I$1),"")</f>
        <v/>
      </c>
      <c r="K229" t="str">
        <f>IF(Draft_Import!$D229=K$1,COUNTIF(Draft_Import!$D$2:'Draft_Import'!$D229,K$1),"")</f>
        <v/>
      </c>
      <c r="M229" t="str">
        <f>IF(Draft_Import!$D229=M$1,COUNTIF(Draft_Import!$D$2:'Draft_Import'!$D229,M$1),"")</f>
        <v/>
      </c>
      <c r="O229" t="str">
        <f>IF(Draft_Import!$D229=O$1,COUNTIF(Draft_Import!$D$2:'Draft_Import'!$D229,O$1),"")</f>
        <v/>
      </c>
      <c r="Q229" t="str">
        <f>IF(Draft_Import!$D229=Q$1,COUNTIF(Draft_Import!$D$2:'Draft_Import'!$D229,Q$1),"")</f>
        <v/>
      </c>
      <c r="S229" t="str">
        <f>IF(Draft_Import!$D229=S$1,COUNTIF(Draft_Import!$D$2:'Draft_Import'!$D229,S$1),"")</f>
        <v/>
      </c>
    </row>
    <row r="230" spans="1:19" x14ac:dyDescent="0.25">
      <c r="A230" t="str">
        <f>IF(Draft_Import!$D230=A$1,COUNTIF(Draft_Import!$D$2:'Draft_Import'!$D230,A$1),"")</f>
        <v/>
      </c>
      <c r="C230" t="str">
        <f>IF(Draft_Import!$D230=C$1,COUNTIF(Draft_Import!$D$2:'Draft_Import'!$D230,C$1),"")</f>
        <v/>
      </c>
      <c r="E230" t="str">
        <f>IF(Draft_Import!$D230=E$1,COUNTIF(Draft_Import!$D$2:'Draft_Import'!$D230,E$1),"")</f>
        <v/>
      </c>
      <c r="G230" t="str">
        <f>IF(Draft_Import!$D230=G$1,COUNTIF(Draft_Import!$D$2:'Draft_Import'!$D230,G$1),"")</f>
        <v/>
      </c>
      <c r="I230" t="str">
        <f>IF(Draft_Import!$D230=I$1,COUNTIF(Draft_Import!$D$2:'Draft_Import'!$D230,I$1),"")</f>
        <v/>
      </c>
      <c r="K230" t="str">
        <f>IF(Draft_Import!$D230=K$1,COUNTIF(Draft_Import!$D$2:'Draft_Import'!$D230,K$1),"")</f>
        <v/>
      </c>
      <c r="M230" t="str">
        <f>IF(Draft_Import!$D230=M$1,COUNTIF(Draft_Import!$D$2:'Draft_Import'!$D230,M$1),"")</f>
        <v/>
      </c>
      <c r="O230" t="str">
        <f>IF(Draft_Import!$D230=O$1,COUNTIF(Draft_Import!$D$2:'Draft_Import'!$D230,O$1),"")</f>
        <v/>
      </c>
      <c r="Q230" t="str">
        <f>IF(Draft_Import!$D230=Q$1,COUNTIF(Draft_Import!$D$2:'Draft_Import'!$D230,Q$1),"")</f>
        <v/>
      </c>
      <c r="S230" t="str">
        <f>IF(Draft_Import!$D230=S$1,COUNTIF(Draft_Import!$D$2:'Draft_Import'!$D230,S$1),"")</f>
        <v/>
      </c>
    </row>
    <row r="231" spans="1:19" x14ac:dyDescent="0.25">
      <c r="A231" t="str">
        <f>IF(Draft_Import!$D231=A$1,COUNTIF(Draft_Import!$D$2:'Draft_Import'!$D231,A$1),"")</f>
        <v/>
      </c>
      <c r="C231" t="str">
        <f>IF(Draft_Import!$D231=C$1,COUNTIF(Draft_Import!$D$2:'Draft_Import'!$D231,C$1),"")</f>
        <v/>
      </c>
      <c r="E231" t="str">
        <f>IF(Draft_Import!$D231=E$1,COUNTIF(Draft_Import!$D$2:'Draft_Import'!$D231,E$1),"")</f>
        <v/>
      </c>
      <c r="G231" t="str">
        <f>IF(Draft_Import!$D231=G$1,COUNTIF(Draft_Import!$D$2:'Draft_Import'!$D231,G$1),"")</f>
        <v/>
      </c>
      <c r="I231" t="str">
        <f>IF(Draft_Import!$D231=I$1,COUNTIF(Draft_Import!$D$2:'Draft_Import'!$D231,I$1),"")</f>
        <v/>
      </c>
      <c r="K231" t="str">
        <f>IF(Draft_Import!$D231=K$1,COUNTIF(Draft_Import!$D$2:'Draft_Import'!$D231,K$1),"")</f>
        <v/>
      </c>
      <c r="M231" t="str">
        <f>IF(Draft_Import!$D231=M$1,COUNTIF(Draft_Import!$D$2:'Draft_Import'!$D231,M$1),"")</f>
        <v/>
      </c>
      <c r="O231" t="str">
        <f>IF(Draft_Import!$D231=O$1,COUNTIF(Draft_Import!$D$2:'Draft_Import'!$D231,O$1),"")</f>
        <v/>
      </c>
      <c r="Q231" t="str">
        <f>IF(Draft_Import!$D231=Q$1,COUNTIF(Draft_Import!$D$2:'Draft_Import'!$D231,Q$1),"")</f>
        <v/>
      </c>
      <c r="S231" t="str">
        <f>IF(Draft_Import!$D231=S$1,COUNTIF(Draft_Import!$D$2:'Draft_Import'!$D231,S$1),"")</f>
        <v/>
      </c>
    </row>
    <row r="232" spans="1:19" x14ac:dyDescent="0.25">
      <c r="A232" t="str">
        <f>IF(Draft_Import!$D232=A$1,COUNTIF(Draft_Import!$D$2:'Draft_Import'!$D232,A$1),"")</f>
        <v/>
      </c>
      <c r="C232" t="str">
        <f>IF(Draft_Import!$D232=C$1,COUNTIF(Draft_Import!$D$2:'Draft_Import'!$D232,C$1),"")</f>
        <v/>
      </c>
      <c r="E232" t="str">
        <f>IF(Draft_Import!$D232=E$1,COUNTIF(Draft_Import!$D$2:'Draft_Import'!$D232,E$1),"")</f>
        <v/>
      </c>
      <c r="G232" t="str">
        <f>IF(Draft_Import!$D232=G$1,COUNTIF(Draft_Import!$D$2:'Draft_Import'!$D232,G$1),"")</f>
        <v/>
      </c>
      <c r="I232" t="str">
        <f>IF(Draft_Import!$D232=I$1,COUNTIF(Draft_Import!$D$2:'Draft_Import'!$D232,I$1),"")</f>
        <v/>
      </c>
      <c r="K232" t="str">
        <f>IF(Draft_Import!$D232=K$1,COUNTIF(Draft_Import!$D$2:'Draft_Import'!$D232,K$1),"")</f>
        <v/>
      </c>
      <c r="M232" t="str">
        <f>IF(Draft_Import!$D232=M$1,COUNTIF(Draft_Import!$D$2:'Draft_Import'!$D232,M$1),"")</f>
        <v/>
      </c>
      <c r="O232" t="str">
        <f>IF(Draft_Import!$D232=O$1,COUNTIF(Draft_Import!$D$2:'Draft_Import'!$D232,O$1),"")</f>
        <v/>
      </c>
      <c r="Q232" t="str">
        <f>IF(Draft_Import!$D232=Q$1,COUNTIF(Draft_Import!$D$2:'Draft_Import'!$D232,Q$1),"")</f>
        <v/>
      </c>
      <c r="S232" t="str">
        <f>IF(Draft_Import!$D232=S$1,COUNTIF(Draft_Import!$D$2:'Draft_Import'!$D232,S$1),"")</f>
        <v/>
      </c>
    </row>
    <row r="233" spans="1:19" x14ac:dyDescent="0.25">
      <c r="A233" t="str">
        <f>IF(Draft_Import!$D233=A$1,COUNTIF(Draft_Import!$D$2:'Draft_Import'!$D233,A$1),"")</f>
        <v/>
      </c>
      <c r="C233" t="str">
        <f>IF(Draft_Import!$D233=C$1,COUNTIF(Draft_Import!$D$2:'Draft_Import'!$D233,C$1),"")</f>
        <v/>
      </c>
      <c r="E233" t="str">
        <f>IF(Draft_Import!$D233=E$1,COUNTIF(Draft_Import!$D$2:'Draft_Import'!$D233,E$1),"")</f>
        <v/>
      </c>
      <c r="G233" t="str">
        <f>IF(Draft_Import!$D233=G$1,COUNTIF(Draft_Import!$D$2:'Draft_Import'!$D233,G$1),"")</f>
        <v/>
      </c>
      <c r="I233" t="str">
        <f>IF(Draft_Import!$D233=I$1,COUNTIF(Draft_Import!$D$2:'Draft_Import'!$D233,I$1),"")</f>
        <v/>
      </c>
      <c r="K233" t="str">
        <f>IF(Draft_Import!$D233=K$1,COUNTIF(Draft_Import!$D$2:'Draft_Import'!$D233,K$1),"")</f>
        <v/>
      </c>
      <c r="M233" t="str">
        <f>IF(Draft_Import!$D233=M$1,COUNTIF(Draft_Import!$D$2:'Draft_Import'!$D233,M$1),"")</f>
        <v/>
      </c>
      <c r="O233" t="str">
        <f>IF(Draft_Import!$D233=O$1,COUNTIF(Draft_Import!$D$2:'Draft_Import'!$D233,O$1),"")</f>
        <v/>
      </c>
      <c r="Q233" t="str">
        <f>IF(Draft_Import!$D233=Q$1,COUNTIF(Draft_Import!$D$2:'Draft_Import'!$D233,Q$1),"")</f>
        <v/>
      </c>
      <c r="S233" t="str">
        <f>IF(Draft_Import!$D233=S$1,COUNTIF(Draft_Import!$D$2:'Draft_Import'!$D233,S$1),"")</f>
        <v/>
      </c>
    </row>
    <row r="234" spans="1:19" x14ac:dyDescent="0.25">
      <c r="A234" t="str">
        <f>IF(Draft_Import!$D234=A$1,COUNTIF(Draft_Import!$D$2:'Draft_Import'!$D234,A$1),"")</f>
        <v/>
      </c>
      <c r="C234" t="str">
        <f>IF(Draft_Import!$D234=C$1,COUNTIF(Draft_Import!$D$2:'Draft_Import'!$D234,C$1),"")</f>
        <v/>
      </c>
      <c r="E234" t="str">
        <f>IF(Draft_Import!$D234=E$1,COUNTIF(Draft_Import!$D$2:'Draft_Import'!$D234,E$1),"")</f>
        <v/>
      </c>
      <c r="G234" t="str">
        <f>IF(Draft_Import!$D234=G$1,COUNTIF(Draft_Import!$D$2:'Draft_Import'!$D234,G$1),"")</f>
        <v/>
      </c>
      <c r="I234" t="str">
        <f>IF(Draft_Import!$D234=I$1,COUNTIF(Draft_Import!$D$2:'Draft_Import'!$D234,I$1),"")</f>
        <v/>
      </c>
      <c r="K234" t="str">
        <f>IF(Draft_Import!$D234=K$1,COUNTIF(Draft_Import!$D$2:'Draft_Import'!$D234,K$1),"")</f>
        <v/>
      </c>
      <c r="M234" t="str">
        <f>IF(Draft_Import!$D234=M$1,COUNTIF(Draft_Import!$D$2:'Draft_Import'!$D234,M$1),"")</f>
        <v/>
      </c>
      <c r="O234" t="str">
        <f>IF(Draft_Import!$D234=O$1,COUNTIF(Draft_Import!$D$2:'Draft_Import'!$D234,O$1),"")</f>
        <v/>
      </c>
      <c r="Q234" t="str">
        <f>IF(Draft_Import!$D234=Q$1,COUNTIF(Draft_Import!$D$2:'Draft_Import'!$D234,Q$1),"")</f>
        <v/>
      </c>
      <c r="S234" t="str">
        <f>IF(Draft_Import!$D234=S$1,COUNTIF(Draft_Import!$D$2:'Draft_Import'!$D234,S$1),"")</f>
        <v/>
      </c>
    </row>
    <row r="235" spans="1:19" x14ac:dyDescent="0.25">
      <c r="A235" t="str">
        <f>IF(Draft_Import!$D235=A$1,COUNTIF(Draft_Import!$D$2:'Draft_Import'!$D235,A$1),"")</f>
        <v/>
      </c>
      <c r="C235" t="str">
        <f>IF(Draft_Import!$D235=C$1,COUNTIF(Draft_Import!$D$2:'Draft_Import'!$D235,C$1),"")</f>
        <v/>
      </c>
      <c r="E235" t="str">
        <f>IF(Draft_Import!$D235=E$1,COUNTIF(Draft_Import!$D$2:'Draft_Import'!$D235,E$1),"")</f>
        <v/>
      </c>
      <c r="G235" t="str">
        <f>IF(Draft_Import!$D235=G$1,COUNTIF(Draft_Import!$D$2:'Draft_Import'!$D235,G$1),"")</f>
        <v/>
      </c>
      <c r="I235" t="str">
        <f>IF(Draft_Import!$D235=I$1,COUNTIF(Draft_Import!$D$2:'Draft_Import'!$D235,I$1),"")</f>
        <v/>
      </c>
      <c r="K235" t="str">
        <f>IF(Draft_Import!$D235=K$1,COUNTIF(Draft_Import!$D$2:'Draft_Import'!$D235,K$1),"")</f>
        <v/>
      </c>
      <c r="M235" t="str">
        <f>IF(Draft_Import!$D235=M$1,COUNTIF(Draft_Import!$D$2:'Draft_Import'!$D235,M$1),"")</f>
        <v/>
      </c>
      <c r="O235" t="str">
        <f>IF(Draft_Import!$D235=O$1,COUNTIF(Draft_Import!$D$2:'Draft_Import'!$D235,O$1),"")</f>
        <v/>
      </c>
      <c r="Q235" t="str">
        <f>IF(Draft_Import!$D235=Q$1,COUNTIF(Draft_Import!$D$2:'Draft_Import'!$D235,Q$1),"")</f>
        <v/>
      </c>
      <c r="S235" t="str">
        <f>IF(Draft_Import!$D235=S$1,COUNTIF(Draft_Import!$D$2:'Draft_Import'!$D235,S$1),"")</f>
        <v/>
      </c>
    </row>
    <row r="236" spans="1:19" x14ac:dyDescent="0.25">
      <c r="A236" t="str">
        <f>IF(Draft_Import!$D236=A$1,COUNTIF(Draft_Import!$D$2:'Draft_Import'!$D236,A$1),"")</f>
        <v/>
      </c>
      <c r="C236" t="str">
        <f>IF(Draft_Import!$D236=C$1,COUNTIF(Draft_Import!$D$2:'Draft_Import'!$D236,C$1),"")</f>
        <v/>
      </c>
      <c r="E236" t="str">
        <f>IF(Draft_Import!$D236=E$1,COUNTIF(Draft_Import!$D$2:'Draft_Import'!$D236,E$1),"")</f>
        <v/>
      </c>
      <c r="G236" t="str">
        <f>IF(Draft_Import!$D236=G$1,COUNTIF(Draft_Import!$D$2:'Draft_Import'!$D236,G$1),"")</f>
        <v/>
      </c>
      <c r="I236" t="str">
        <f>IF(Draft_Import!$D236=I$1,COUNTIF(Draft_Import!$D$2:'Draft_Import'!$D236,I$1),"")</f>
        <v/>
      </c>
      <c r="K236" t="str">
        <f>IF(Draft_Import!$D236=K$1,COUNTIF(Draft_Import!$D$2:'Draft_Import'!$D236,K$1),"")</f>
        <v/>
      </c>
      <c r="M236" t="str">
        <f>IF(Draft_Import!$D236=M$1,COUNTIF(Draft_Import!$D$2:'Draft_Import'!$D236,M$1),"")</f>
        <v/>
      </c>
      <c r="O236" t="str">
        <f>IF(Draft_Import!$D236=O$1,COUNTIF(Draft_Import!$D$2:'Draft_Import'!$D236,O$1),"")</f>
        <v/>
      </c>
      <c r="Q236" t="str">
        <f>IF(Draft_Import!$D236=Q$1,COUNTIF(Draft_Import!$D$2:'Draft_Import'!$D236,Q$1),"")</f>
        <v/>
      </c>
      <c r="S236" t="str">
        <f>IF(Draft_Import!$D236=S$1,COUNTIF(Draft_Import!$D$2:'Draft_Import'!$D236,S$1),"")</f>
        <v/>
      </c>
    </row>
    <row r="237" spans="1:19" x14ac:dyDescent="0.25">
      <c r="A237" t="str">
        <f>IF(Draft_Import!$D237=A$1,COUNTIF(Draft_Import!$D$2:'Draft_Import'!$D237,A$1),"")</f>
        <v/>
      </c>
      <c r="C237" t="str">
        <f>IF(Draft_Import!$D237=C$1,COUNTIF(Draft_Import!$D$2:'Draft_Import'!$D237,C$1),"")</f>
        <v/>
      </c>
      <c r="E237" t="str">
        <f>IF(Draft_Import!$D237=E$1,COUNTIF(Draft_Import!$D$2:'Draft_Import'!$D237,E$1),"")</f>
        <v/>
      </c>
      <c r="G237" t="str">
        <f>IF(Draft_Import!$D237=G$1,COUNTIF(Draft_Import!$D$2:'Draft_Import'!$D237,G$1),"")</f>
        <v/>
      </c>
      <c r="I237" t="str">
        <f>IF(Draft_Import!$D237=I$1,COUNTIF(Draft_Import!$D$2:'Draft_Import'!$D237,I$1),"")</f>
        <v/>
      </c>
      <c r="K237" t="str">
        <f>IF(Draft_Import!$D237=K$1,COUNTIF(Draft_Import!$D$2:'Draft_Import'!$D237,K$1),"")</f>
        <v/>
      </c>
      <c r="M237" t="str">
        <f>IF(Draft_Import!$D237=M$1,COUNTIF(Draft_Import!$D$2:'Draft_Import'!$D237,M$1),"")</f>
        <v/>
      </c>
      <c r="O237" t="str">
        <f>IF(Draft_Import!$D237=O$1,COUNTIF(Draft_Import!$D$2:'Draft_Import'!$D237,O$1),"")</f>
        <v/>
      </c>
      <c r="Q237" t="str">
        <f>IF(Draft_Import!$D237=Q$1,COUNTIF(Draft_Import!$D$2:'Draft_Import'!$D237,Q$1),"")</f>
        <v/>
      </c>
      <c r="S237" t="str">
        <f>IF(Draft_Import!$D237=S$1,COUNTIF(Draft_Import!$D$2:'Draft_Import'!$D237,S$1),"")</f>
        <v/>
      </c>
    </row>
    <row r="238" spans="1:19" x14ac:dyDescent="0.25">
      <c r="A238" t="str">
        <f>IF(Draft_Import!$D238=A$1,COUNTIF(Draft_Import!$D$2:'Draft_Import'!$D238,A$1),"")</f>
        <v/>
      </c>
      <c r="C238" t="str">
        <f>IF(Draft_Import!$D238=C$1,COUNTIF(Draft_Import!$D$2:'Draft_Import'!$D238,C$1),"")</f>
        <v/>
      </c>
      <c r="E238" t="str">
        <f>IF(Draft_Import!$D238=E$1,COUNTIF(Draft_Import!$D$2:'Draft_Import'!$D238,E$1),"")</f>
        <v/>
      </c>
      <c r="G238" t="str">
        <f>IF(Draft_Import!$D238=G$1,COUNTIF(Draft_Import!$D$2:'Draft_Import'!$D238,G$1),"")</f>
        <v/>
      </c>
      <c r="I238" t="str">
        <f>IF(Draft_Import!$D238=I$1,COUNTIF(Draft_Import!$D$2:'Draft_Import'!$D238,I$1),"")</f>
        <v/>
      </c>
      <c r="K238" t="str">
        <f>IF(Draft_Import!$D238=K$1,COUNTIF(Draft_Import!$D$2:'Draft_Import'!$D238,K$1),"")</f>
        <v/>
      </c>
      <c r="M238" t="str">
        <f>IF(Draft_Import!$D238=M$1,COUNTIF(Draft_Import!$D$2:'Draft_Import'!$D238,M$1),"")</f>
        <v/>
      </c>
      <c r="O238" t="str">
        <f>IF(Draft_Import!$D238=O$1,COUNTIF(Draft_Import!$D$2:'Draft_Import'!$D238,O$1),"")</f>
        <v/>
      </c>
      <c r="Q238" t="str">
        <f>IF(Draft_Import!$D238=Q$1,COUNTIF(Draft_Import!$D$2:'Draft_Import'!$D238,Q$1),"")</f>
        <v/>
      </c>
      <c r="S238" t="str">
        <f>IF(Draft_Import!$D238=S$1,COUNTIF(Draft_Import!$D$2:'Draft_Import'!$D238,S$1),"")</f>
        <v/>
      </c>
    </row>
    <row r="239" spans="1:19" x14ac:dyDescent="0.25">
      <c r="A239" t="str">
        <f>IF(Draft_Import!$D239=A$1,COUNTIF(Draft_Import!$D$2:'Draft_Import'!$D239,A$1),"")</f>
        <v/>
      </c>
      <c r="C239" t="str">
        <f>IF(Draft_Import!$D239=C$1,COUNTIF(Draft_Import!$D$2:'Draft_Import'!$D239,C$1),"")</f>
        <v/>
      </c>
      <c r="E239" t="str">
        <f>IF(Draft_Import!$D239=E$1,COUNTIF(Draft_Import!$D$2:'Draft_Import'!$D239,E$1),"")</f>
        <v/>
      </c>
      <c r="G239" t="str">
        <f>IF(Draft_Import!$D239=G$1,COUNTIF(Draft_Import!$D$2:'Draft_Import'!$D239,G$1),"")</f>
        <v/>
      </c>
      <c r="I239" t="str">
        <f>IF(Draft_Import!$D239=I$1,COUNTIF(Draft_Import!$D$2:'Draft_Import'!$D239,I$1),"")</f>
        <v/>
      </c>
      <c r="K239" t="str">
        <f>IF(Draft_Import!$D239=K$1,COUNTIF(Draft_Import!$D$2:'Draft_Import'!$D239,K$1),"")</f>
        <v/>
      </c>
      <c r="M239" t="str">
        <f>IF(Draft_Import!$D239=M$1,COUNTIF(Draft_Import!$D$2:'Draft_Import'!$D239,M$1),"")</f>
        <v/>
      </c>
      <c r="O239" t="str">
        <f>IF(Draft_Import!$D239=O$1,COUNTIF(Draft_Import!$D$2:'Draft_Import'!$D239,O$1),"")</f>
        <v/>
      </c>
      <c r="Q239" t="str">
        <f>IF(Draft_Import!$D239=Q$1,COUNTIF(Draft_Import!$D$2:'Draft_Import'!$D239,Q$1),"")</f>
        <v/>
      </c>
      <c r="S239" t="str">
        <f>IF(Draft_Import!$D239=S$1,COUNTIF(Draft_Import!$D$2:'Draft_Import'!$D239,S$1),"")</f>
        <v/>
      </c>
    </row>
    <row r="240" spans="1:19" x14ac:dyDescent="0.25">
      <c r="A240" t="str">
        <f>IF(Draft_Import!$D240=A$1,COUNTIF(Draft_Import!$D$2:'Draft_Import'!$D240,A$1),"")</f>
        <v/>
      </c>
      <c r="C240" t="str">
        <f>IF(Draft_Import!$D240=C$1,COUNTIF(Draft_Import!$D$2:'Draft_Import'!$D240,C$1),"")</f>
        <v/>
      </c>
      <c r="E240" t="str">
        <f>IF(Draft_Import!$D240=E$1,COUNTIF(Draft_Import!$D$2:'Draft_Import'!$D240,E$1),"")</f>
        <v/>
      </c>
      <c r="G240" t="str">
        <f>IF(Draft_Import!$D240=G$1,COUNTIF(Draft_Import!$D$2:'Draft_Import'!$D240,G$1),"")</f>
        <v/>
      </c>
      <c r="I240" t="str">
        <f>IF(Draft_Import!$D240=I$1,COUNTIF(Draft_Import!$D$2:'Draft_Import'!$D240,I$1),"")</f>
        <v/>
      </c>
      <c r="K240" t="str">
        <f>IF(Draft_Import!$D240=K$1,COUNTIF(Draft_Import!$D$2:'Draft_Import'!$D240,K$1),"")</f>
        <v/>
      </c>
      <c r="M240" t="str">
        <f>IF(Draft_Import!$D240=M$1,COUNTIF(Draft_Import!$D$2:'Draft_Import'!$D240,M$1),"")</f>
        <v/>
      </c>
      <c r="O240" t="str">
        <f>IF(Draft_Import!$D240=O$1,COUNTIF(Draft_Import!$D$2:'Draft_Import'!$D240,O$1),"")</f>
        <v/>
      </c>
      <c r="Q240" t="str">
        <f>IF(Draft_Import!$D240=Q$1,COUNTIF(Draft_Import!$D$2:'Draft_Import'!$D240,Q$1),"")</f>
        <v/>
      </c>
      <c r="S240" t="str">
        <f>IF(Draft_Import!$D240=S$1,COUNTIF(Draft_Import!$D$2:'Draft_Import'!$D240,S$1),"")</f>
        <v/>
      </c>
    </row>
    <row r="241" spans="1:19" x14ac:dyDescent="0.25">
      <c r="A241" t="str">
        <f>IF(Draft_Import!$D241=A$1,COUNTIF(Draft_Import!$D$2:'Draft_Import'!$D241,A$1),"")</f>
        <v/>
      </c>
      <c r="C241" t="str">
        <f>IF(Draft_Import!$D241=C$1,COUNTIF(Draft_Import!$D$2:'Draft_Import'!$D241,C$1),"")</f>
        <v/>
      </c>
      <c r="E241" t="str">
        <f>IF(Draft_Import!$D241=E$1,COUNTIF(Draft_Import!$D$2:'Draft_Import'!$D241,E$1),"")</f>
        <v/>
      </c>
      <c r="G241" t="str">
        <f>IF(Draft_Import!$D241=G$1,COUNTIF(Draft_Import!$D$2:'Draft_Import'!$D241,G$1),"")</f>
        <v/>
      </c>
      <c r="I241" t="str">
        <f>IF(Draft_Import!$D241=I$1,COUNTIF(Draft_Import!$D$2:'Draft_Import'!$D241,I$1),"")</f>
        <v/>
      </c>
      <c r="K241" t="str">
        <f>IF(Draft_Import!$D241=K$1,COUNTIF(Draft_Import!$D$2:'Draft_Import'!$D241,K$1),"")</f>
        <v/>
      </c>
      <c r="M241" t="str">
        <f>IF(Draft_Import!$D241=M$1,COUNTIF(Draft_Import!$D$2:'Draft_Import'!$D241,M$1),"")</f>
        <v/>
      </c>
      <c r="O241" t="str">
        <f>IF(Draft_Import!$D241=O$1,COUNTIF(Draft_Import!$D$2:'Draft_Import'!$D241,O$1),"")</f>
        <v/>
      </c>
      <c r="Q241" t="str">
        <f>IF(Draft_Import!$D241=Q$1,COUNTIF(Draft_Import!$D$2:'Draft_Import'!$D241,Q$1),"")</f>
        <v/>
      </c>
      <c r="S241" t="str">
        <f>IF(Draft_Import!$D241=S$1,COUNTIF(Draft_Import!$D$2:'Draft_Import'!$D241,S$1),"")</f>
        <v/>
      </c>
    </row>
    <row r="242" spans="1:19" x14ac:dyDescent="0.25">
      <c r="A242" t="str">
        <f>IF(Draft_Import!$D242=A$1,COUNTIF(Draft_Import!$D$2:'Draft_Import'!$D242,A$1),"")</f>
        <v/>
      </c>
      <c r="C242" t="str">
        <f>IF(Draft_Import!$D242=C$1,COUNTIF(Draft_Import!$D$2:'Draft_Import'!$D242,C$1),"")</f>
        <v/>
      </c>
      <c r="E242" t="str">
        <f>IF(Draft_Import!$D242=E$1,COUNTIF(Draft_Import!$D$2:'Draft_Import'!$D242,E$1),"")</f>
        <v/>
      </c>
      <c r="G242" t="str">
        <f>IF(Draft_Import!$D242=G$1,COUNTIF(Draft_Import!$D$2:'Draft_Import'!$D242,G$1),"")</f>
        <v/>
      </c>
      <c r="I242" t="str">
        <f>IF(Draft_Import!$D242=I$1,COUNTIF(Draft_Import!$D$2:'Draft_Import'!$D242,I$1),"")</f>
        <v/>
      </c>
      <c r="K242" t="str">
        <f>IF(Draft_Import!$D242=K$1,COUNTIF(Draft_Import!$D$2:'Draft_Import'!$D242,K$1),"")</f>
        <v/>
      </c>
      <c r="M242" t="str">
        <f>IF(Draft_Import!$D242=M$1,COUNTIF(Draft_Import!$D$2:'Draft_Import'!$D242,M$1),"")</f>
        <v/>
      </c>
      <c r="O242" t="str">
        <f>IF(Draft_Import!$D242=O$1,COUNTIF(Draft_Import!$D$2:'Draft_Import'!$D242,O$1),"")</f>
        <v/>
      </c>
      <c r="Q242" t="str">
        <f>IF(Draft_Import!$D242=Q$1,COUNTIF(Draft_Import!$D$2:'Draft_Import'!$D242,Q$1),"")</f>
        <v/>
      </c>
      <c r="S242" t="str">
        <f>IF(Draft_Import!$D242=S$1,COUNTIF(Draft_Import!$D$2:'Draft_Import'!$D242,S$1),"")</f>
        <v/>
      </c>
    </row>
    <row r="243" spans="1:19" x14ac:dyDescent="0.25">
      <c r="A243" t="str">
        <f>IF(Draft_Import!$D243=A$1,COUNTIF(Draft_Import!$D$2:'Draft_Import'!$D243,A$1),"")</f>
        <v/>
      </c>
      <c r="C243" t="str">
        <f>IF(Draft_Import!$D243=C$1,COUNTIF(Draft_Import!$D$2:'Draft_Import'!$D243,C$1),"")</f>
        <v/>
      </c>
      <c r="E243" t="str">
        <f>IF(Draft_Import!$D243=E$1,COUNTIF(Draft_Import!$D$2:'Draft_Import'!$D243,E$1),"")</f>
        <v/>
      </c>
      <c r="G243" t="str">
        <f>IF(Draft_Import!$D243=G$1,COUNTIF(Draft_Import!$D$2:'Draft_Import'!$D243,G$1),"")</f>
        <v/>
      </c>
      <c r="I243" t="str">
        <f>IF(Draft_Import!$D243=I$1,COUNTIF(Draft_Import!$D$2:'Draft_Import'!$D243,I$1),"")</f>
        <v/>
      </c>
      <c r="K243" t="str">
        <f>IF(Draft_Import!$D243=K$1,COUNTIF(Draft_Import!$D$2:'Draft_Import'!$D243,K$1),"")</f>
        <v/>
      </c>
      <c r="M243" t="str">
        <f>IF(Draft_Import!$D243=M$1,COUNTIF(Draft_Import!$D$2:'Draft_Import'!$D243,M$1),"")</f>
        <v/>
      </c>
      <c r="O243" t="str">
        <f>IF(Draft_Import!$D243=O$1,COUNTIF(Draft_Import!$D$2:'Draft_Import'!$D243,O$1),"")</f>
        <v/>
      </c>
      <c r="Q243" t="str">
        <f>IF(Draft_Import!$D243=Q$1,COUNTIF(Draft_Import!$D$2:'Draft_Import'!$D243,Q$1),"")</f>
        <v/>
      </c>
      <c r="S243" t="str">
        <f>IF(Draft_Import!$D243=S$1,COUNTIF(Draft_Import!$D$2:'Draft_Import'!$D243,S$1),"")</f>
        <v/>
      </c>
    </row>
    <row r="244" spans="1:19" x14ac:dyDescent="0.25">
      <c r="A244" t="str">
        <f>IF(Draft_Import!$D244=A$1,COUNTIF(Draft_Import!$D$2:'Draft_Import'!$D244,A$1),"")</f>
        <v/>
      </c>
      <c r="C244" t="str">
        <f>IF(Draft_Import!$D244=C$1,COUNTIF(Draft_Import!$D$2:'Draft_Import'!$D244,C$1),"")</f>
        <v/>
      </c>
      <c r="E244" t="str">
        <f>IF(Draft_Import!$D244=E$1,COUNTIF(Draft_Import!$D$2:'Draft_Import'!$D244,E$1),"")</f>
        <v/>
      </c>
      <c r="G244" t="str">
        <f>IF(Draft_Import!$D244=G$1,COUNTIF(Draft_Import!$D$2:'Draft_Import'!$D244,G$1),"")</f>
        <v/>
      </c>
      <c r="I244" t="str">
        <f>IF(Draft_Import!$D244=I$1,COUNTIF(Draft_Import!$D$2:'Draft_Import'!$D244,I$1),"")</f>
        <v/>
      </c>
      <c r="K244" t="str">
        <f>IF(Draft_Import!$D244=K$1,COUNTIF(Draft_Import!$D$2:'Draft_Import'!$D244,K$1),"")</f>
        <v/>
      </c>
      <c r="M244" t="str">
        <f>IF(Draft_Import!$D244=M$1,COUNTIF(Draft_Import!$D$2:'Draft_Import'!$D244,M$1),"")</f>
        <v/>
      </c>
      <c r="O244" t="str">
        <f>IF(Draft_Import!$D244=O$1,COUNTIF(Draft_Import!$D$2:'Draft_Import'!$D244,O$1),"")</f>
        <v/>
      </c>
      <c r="Q244" t="str">
        <f>IF(Draft_Import!$D244=Q$1,COUNTIF(Draft_Import!$D$2:'Draft_Import'!$D244,Q$1),"")</f>
        <v/>
      </c>
      <c r="S244" t="str">
        <f>IF(Draft_Import!$D244=S$1,COUNTIF(Draft_Import!$D$2:'Draft_Import'!$D244,S$1),"")</f>
        <v/>
      </c>
    </row>
    <row r="245" spans="1:19" x14ac:dyDescent="0.25">
      <c r="A245" t="str">
        <f>IF(Draft_Import!$D245=A$1,COUNTIF(Draft_Import!$D$2:'Draft_Import'!$D245,A$1),"")</f>
        <v/>
      </c>
      <c r="C245" t="str">
        <f>IF(Draft_Import!$D245=C$1,COUNTIF(Draft_Import!$D$2:'Draft_Import'!$D245,C$1),"")</f>
        <v/>
      </c>
      <c r="E245" t="str">
        <f>IF(Draft_Import!$D245=E$1,COUNTIF(Draft_Import!$D$2:'Draft_Import'!$D245,E$1),"")</f>
        <v/>
      </c>
      <c r="G245" t="str">
        <f>IF(Draft_Import!$D245=G$1,COUNTIF(Draft_Import!$D$2:'Draft_Import'!$D245,G$1),"")</f>
        <v/>
      </c>
      <c r="I245" t="str">
        <f>IF(Draft_Import!$D245=I$1,COUNTIF(Draft_Import!$D$2:'Draft_Import'!$D245,I$1),"")</f>
        <v/>
      </c>
      <c r="K245" t="str">
        <f>IF(Draft_Import!$D245=K$1,COUNTIF(Draft_Import!$D$2:'Draft_Import'!$D245,K$1),"")</f>
        <v/>
      </c>
      <c r="M245" t="str">
        <f>IF(Draft_Import!$D245=M$1,COUNTIF(Draft_Import!$D$2:'Draft_Import'!$D245,M$1),"")</f>
        <v/>
      </c>
      <c r="O245" t="str">
        <f>IF(Draft_Import!$D245=O$1,COUNTIF(Draft_Import!$D$2:'Draft_Import'!$D245,O$1),"")</f>
        <v/>
      </c>
      <c r="Q245" t="str">
        <f>IF(Draft_Import!$D245=Q$1,COUNTIF(Draft_Import!$D$2:'Draft_Import'!$D245,Q$1),"")</f>
        <v/>
      </c>
      <c r="S245" t="str">
        <f>IF(Draft_Import!$D245=S$1,COUNTIF(Draft_Import!$D$2:'Draft_Import'!$D245,S$1),"")</f>
        <v/>
      </c>
    </row>
    <row r="246" spans="1:19" x14ac:dyDescent="0.25">
      <c r="A246" t="str">
        <f>IF(Draft_Import!$D246=A$1,COUNTIF(Draft_Import!$D$2:'Draft_Import'!$D246,A$1),"")</f>
        <v/>
      </c>
      <c r="C246" t="str">
        <f>IF(Draft_Import!$D246=C$1,COUNTIF(Draft_Import!$D$2:'Draft_Import'!$D246,C$1),"")</f>
        <v/>
      </c>
      <c r="E246" t="str">
        <f>IF(Draft_Import!$D246=E$1,COUNTIF(Draft_Import!$D$2:'Draft_Import'!$D246,E$1),"")</f>
        <v/>
      </c>
      <c r="G246" t="str">
        <f>IF(Draft_Import!$D246=G$1,COUNTIF(Draft_Import!$D$2:'Draft_Import'!$D246,G$1),"")</f>
        <v/>
      </c>
      <c r="I246" t="str">
        <f>IF(Draft_Import!$D246=I$1,COUNTIF(Draft_Import!$D$2:'Draft_Import'!$D246,I$1),"")</f>
        <v/>
      </c>
      <c r="K246" t="str">
        <f>IF(Draft_Import!$D246=K$1,COUNTIF(Draft_Import!$D$2:'Draft_Import'!$D246,K$1),"")</f>
        <v/>
      </c>
      <c r="M246" t="str">
        <f>IF(Draft_Import!$D246=M$1,COUNTIF(Draft_Import!$D$2:'Draft_Import'!$D246,M$1),"")</f>
        <v/>
      </c>
      <c r="O246" t="str">
        <f>IF(Draft_Import!$D246=O$1,COUNTIF(Draft_Import!$D$2:'Draft_Import'!$D246,O$1),"")</f>
        <v/>
      </c>
      <c r="Q246" t="str">
        <f>IF(Draft_Import!$D246=Q$1,COUNTIF(Draft_Import!$D$2:'Draft_Import'!$D246,Q$1),"")</f>
        <v/>
      </c>
      <c r="S246" t="str">
        <f>IF(Draft_Import!$D246=S$1,COUNTIF(Draft_Import!$D$2:'Draft_Import'!$D246,S$1),"")</f>
        <v/>
      </c>
    </row>
    <row r="247" spans="1:19" x14ac:dyDescent="0.25">
      <c r="A247" t="str">
        <f>IF(Draft_Import!$D247=A$1,COUNTIF(Draft_Import!$D$2:'Draft_Import'!$D247,A$1),"")</f>
        <v/>
      </c>
      <c r="C247" t="str">
        <f>IF(Draft_Import!$D247=C$1,COUNTIF(Draft_Import!$D$2:'Draft_Import'!$D247,C$1),"")</f>
        <v/>
      </c>
      <c r="E247" t="str">
        <f>IF(Draft_Import!$D247=E$1,COUNTIF(Draft_Import!$D$2:'Draft_Import'!$D247,E$1),"")</f>
        <v/>
      </c>
      <c r="G247" t="str">
        <f>IF(Draft_Import!$D247=G$1,COUNTIF(Draft_Import!$D$2:'Draft_Import'!$D247,G$1),"")</f>
        <v/>
      </c>
      <c r="I247" t="str">
        <f>IF(Draft_Import!$D247=I$1,COUNTIF(Draft_Import!$D$2:'Draft_Import'!$D247,I$1),"")</f>
        <v/>
      </c>
      <c r="K247" t="str">
        <f>IF(Draft_Import!$D247=K$1,COUNTIF(Draft_Import!$D$2:'Draft_Import'!$D247,K$1),"")</f>
        <v/>
      </c>
      <c r="M247" t="str">
        <f>IF(Draft_Import!$D247=M$1,COUNTIF(Draft_Import!$D$2:'Draft_Import'!$D247,M$1),"")</f>
        <v/>
      </c>
      <c r="O247" t="str">
        <f>IF(Draft_Import!$D247=O$1,COUNTIF(Draft_Import!$D$2:'Draft_Import'!$D247,O$1),"")</f>
        <v/>
      </c>
      <c r="Q247" t="str">
        <f>IF(Draft_Import!$D247=Q$1,COUNTIF(Draft_Import!$D$2:'Draft_Import'!$D247,Q$1),"")</f>
        <v/>
      </c>
      <c r="S247" t="str">
        <f>IF(Draft_Import!$D247=S$1,COUNTIF(Draft_Import!$D$2:'Draft_Import'!$D247,S$1),"")</f>
        <v/>
      </c>
    </row>
    <row r="248" spans="1:19" x14ac:dyDescent="0.25">
      <c r="A248" t="str">
        <f>IF(Draft_Import!$D248=A$1,COUNTIF(Draft_Import!$D$2:'Draft_Import'!$D248,A$1),"")</f>
        <v/>
      </c>
      <c r="C248" t="str">
        <f>IF(Draft_Import!$D248=C$1,COUNTIF(Draft_Import!$D$2:'Draft_Import'!$D248,C$1),"")</f>
        <v/>
      </c>
      <c r="E248" t="str">
        <f>IF(Draft_Import!$D248=E$1,COUNTIF(Draft_Import!$D$2:'Draft_Import'!$D248,E$1),"")</f>
        <v/>
      </c>
      <c r="G248" t="str">
        <f>IF(Draft_Import!$D248=G$1,COUNTIF(Draft_Import!$D$2:'Draft_Import'!$D248,G$1),"")</f>
        <v/>
      </c>
      <c r="I248" t="str">
        <f>IF(Draft_Import!$D248=I$1,COUNTIF(Draft_Import!$D$2:'Draft_Import'!$D248,I$1),"")</f>
        <v/>
      </c>
      <c r="K248" t="str">
        <f>IF(Draft_Import!$D248=K$1,COUNTIF(Draft_Import!$D$2:'Draft_Import'!$D248,K$1),"")</f>
        <v/>
      </c>
      <c r="M248" t="str">
        <f>IF(Draft_Import!$D248=M$1,COUNTIF(Draft_Import!$D$2:'Draft_Import'!$D248,M$1),"")</f>
        <v/>
      </c>
      <c r="O248" t="str">
        <f>IF(Draft_Import!$D248=O$1,COUNTIF(Draft_Import!$D$2:'Draft_Import'!$D248,O$1),"")</f>
        <v/>
      </c>
      <c r="Q248" t="str">
        <f>IF(Draft_Import!$D248=Q$1,COUNTIF(Draft_Import!$D$2:'Draft_Import'!$D248,Q$1),"")</f>
        <v/>
      </c>
      <c r="S248" t="str">
        <f>IF(Draft_Import!$D248=S$1,COUNTIF(Draft_Import!$D$2:'Draft_Import'!$D248,S$1),"")</f>
        <v/>
      </c>
    </row>
    <row r="249" spans="1:19" x14ac:dyDescent="0.25">
      <c r="A249" t="str">
        <f>IF(Draft_Import!$D249=A$1,COUNTIF(Draft_Import!$D$2:'Draft_Import'!$D249,A$1),"")</f>
        <v/>
      </c>
      <c r="C249" t="str">
        <f>IF(Draft_Import!$D249=C$1,COUNTIF(Draft_Import!$D$2:'Draft_Import'!$D249,C$1),"")</f>
        <v/>
      </c>
      <c r="E249" t="str">
        <f>IF(Draft_Import!$D249=E$1,COUNTIF(Draft_Import!$D$2:'Draft_Import'!$D249,E$1),"")</f>
        <v/>
      </c>
      <c r="G249" t="str">
        <f>IF(Draft_Import!$D249=G$1,COUNTIF(Draft_Import!$D$2:'Draft_Import'!$D249,G$1),"")</f>
        <v/>
      </c>
      <c r="I249" t="str">
        <f>IF(Draft_Import!$D249=I$1,COUNTIF(Draft_Import!$D$2:'Draft_Import'!$D249,I$1),"")</f>
        <v/>
      </c>
      <c r="K249" t="str">
        <f>IF(Draft_Import!$D249=K$1,COUNTIF(Draft_Import!$D$2:'Draft_Import'!$D249,K$1),"")</f>
        <v/>
      </c>
      <c r="M249" t="str">
        <f>IF(Draft_Import!$D249=M$1,COUNTIF(Draft_Import!$D$2:'Draft_Import'!$D249,M$1),"")</f>
        <v/>
      </c>
      <c r="O249" t="str">
        <f>IF(Draft_Import!$D249=O$1,COUNTIF(Draft_Import!$D$2:'Draft_Import'!$D249,O$1),"")</f>
        <v/>
      </c>
      <c r="Q249" t="str">
        <f>IF(Draft_Import!$D249=Q$1,COUNTIF(Draft_Import!$D$2:'Draft_Import'!$D249,Q$1),"")</f>
        <v/>
      </c>
      <c r="S249" t="str">
        <f>IF(Draft_Import!$D249=S$1,COUNTIF(Draft_Import!$D$2:'Draft_Import'!$D249,S$1),"")</f>
        <v/>
      </c>
    </row>
    <row r="250" spans="1:19" x14ac:dyDescent="0.25">
      <c r="A250" t="str">
        <f>IF(Draft_Import!$D250=A$1,COUNTIF(Draft_Import!$D$2:'Draft_Import'!$D250,A$1),"")</f>
        <v/>
      </c>
      <c r="C250" t="str">
        <f>IF(Draft_Import!$D250=C$1,COUNTIF(Draft_Import!$D$2:'Draft_Import'!$D250,C$1),"")</f>
        <v/>
      </c>
      <c r="E250" t="str">
        <f>IF(Draft_Import!$D250=E$1,COUNTIF(Draft_Import!$D$2:'Draft_Import'!$D250,E$1),"")</f>
        <v/>
      </c>
      <c r="G250" t="str">
        <f>IF(Draft_Import!$D250=G$1,COUNTIF(Draft_Import!$D$2:'Draft_Import'!$D250,G$1),"")</f>
        <v/>
      </c>
      <c r="I250" t="str">
        <f>IF(Draft_Import!$D250=I$1,COUNTIF(Draft_Import!$D$2:'Draft_Import'!$D250,I$1),"")</f>
        <v/>
      </c>
      <c r="K250" t="str">
        <f>IF(Draft_Import!$D250=K$1,COUNTIF(Draft_Import!$D$2:'Draft_Import'!$D250,K$1),"")</f>
        <v/>
      </c>
      <c r="M250" t="str">
        <f>IF(Draft_Import!$D250=M$1,COUNTIF(Draft_Import!$D$2:'Draft_Import'!$D250,M$1),"")</f>
        <v/>
      </c>
      <c r="O250" t="str">
        <f>IF(Draft_Import!$D250=O$1,COUNTIF(Draft_Import!$D$2:'Draft_Import'!$D250,O$1),"")</f>
        <v/>
      </c>
      <c r="Q250" t="str">
        <f>IF(Draft_Import!$D250=Q$1,COUNTIF(Draft_Import!$D$2:'Draft_Import'!$D250,Q$1),"")</f>
        <v/>
      </c>
      <c r="S250" t="str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S28"/>
  <sheetViews>
    <sheetView showGridLines="0" tabSelected="1" zoomScale="80" zoomScaleNormal="80" workbookViewId="0">
      <selection activeCell="A31" sqref="A31"/>
    </sheetView>
  </sheetViews>
  <sheetFormatPr defaultRowHeight="15" x14ac:dyDescent="0.25"/>
  <cols>
    <col min="1" max="1" width="21.28515625" customWidth="1"/>
    <col min="2" max="2" width="11" customWidth="1"/>
    <col min="3" max="3" width="10" customWidth="1"/>
    <col min="4" max="4" width="14" customWidth="1"/>
    <col min="5" max="5" width="19.5703125" customWidth="1"/>
    <col min="6" max="6" width="11" customWidth="1"/>
    <col min="7" max="7" width="10" customWidth="1"/>
    <col min="8" max="8" width="14" customWidth="1"/>
    <col min="9" max="9" width="24.42578125" customWidth="1"/>
    <col min="10" max="10" width="11" customWidth="1"/>
    <col min="11" max="11" width="10" customWidth="1"/>
    <col min="12" max="12" width="14" customWidth="1"/>
    <col min="13" max="13" width="20.140625" customWidth="1"/>
    <col min="14" max="14" width="11" customWidth="1"/>
    <col min="15" max="15" width="10" customWidth="1"/>
    <col min="16" max="16" width="14" customWidth="1"/>
    <col min="17" max="17" width="19.42578125" customWidth="1"/>
    <col min="18" max="18" width="11" customWidth="1"/>
    <col min="19" max="19" width="10" customWidth="1"/>
  </cols>
  <sheetData>
    <row r="1" spans="1:19" x14ac:dyDescent="0.25">
      <c r="A1" s="29" t="str">
        <f>Draft_Helper!A1</f>
        <v>Ross</v>
      </c>
      <c r="B1" s="28"/>
      <c r="C1" s="28"/>
      <c r="E1" s="29" t="str">
        <f>Draft_Helper!C1</f>
        <v>Melbye²</v>
      </c>
      <c r="F1" s="28"/>
      <c r="G1" s="28"/>
      <c r="I1" s="29" t="str">
        <f>Draft_Helper!E1</f>
        <v>Bryan</v>
      </c>
      <c r="J1" s="28"/>
      <c r="K1" s="28"/>
      <c r="M1" s="29" t="str">
        <f>Draft_Helper!G1</f>
        <v>Dan 'Full Swing' Clark</v>
      </c>
      <c r="N1" s="28"/>
      <c r="O1" s="28"/>
      <c r="Q1" s="29" t="str">
        <f>Draft_Helper!I1</f>
        <v>Roth</v>
      </c>
      <c r="R1" s="28"/>
      <c r="S1" s="28"/>
    </row>
    <row r="2" spans="1:19" x14ac:dyDescent="0.25">
      <c r="A2" s="9" t="s">
        <v>21</v>
      </c>
      <c r="B2" s="9" t="s">
        <v>22</v>
      </c>
      <c r="C2" s="9" t="s">
        <v>23</v>
      </c>
      <c r="E2" s="9" t="s">
        <v>21</v>
      </c>
      <c r="F2" s="9" t="s">
        <v>22</v>
      </c>
      <c r="G2" s="9" t="s">
        <v>23</v>
      </c>
      <c r="I2" s="9" t="s">
        <v>21</v>
      </c>
      <c r="J2" s="9" t="s">
        <v>22</v>
      </c>
      <c r="K2" s="9" t="s">
        <v>23</v>
      </c>
      <c r="M2" s="9" t="s">
        <v>21</v>
      </c>
      <c r="N2" s="9" t="s">
        <v>22</v>
      </c>
      <c r="O2" s="9" t="s">
        <v>23</v>
      </c>
      <c r="Q2" s="9" t="s">
        <v>21</v>
      </c>
      <c r="R2" s="9" t="s">
        <v>22</v>
      </c>
      <c r="S2" s="9" t="s">
        <v>23</v>
      </c>
    </row>
    <row r="3" spans="1:19" x14ac:dyDescent="0.25">
      <c r="A3" s="10" t="str">
        <f>Draft_Helper!B2</f>
        <v>Scottie Scheffler</v>
      </c>
      <c r="B3" s="11" t="str">
        <f>IFERROR(IF(OR(VLOOKUP(A3, Scores!$C$2:$D$459, 2, FALSE)="E", VLOOKUP(A3, Scores!$C$2:$D$459, 2, FALSE)=""), 0, VLOOKUP(A3, Scores!$C$2:$D$459, 2, FALSE)),0)</f>
        <v>-</v>
      </c>
      <c r="C3" s="12" t="e">
        <f t="shared" ref="C3:C12" si="0">IF(B3="","",IF(UPPER(TRIM(SUBSTITUTE(SUBSTITUTE(B3,"(",""),")","")))="E",0,VALUE(TRIM(SUBSTITUTE(SUBSTITUTE(B3,"(",""),")","")))))</f>
        <v>#VALUE!</v>
      </c>
      <c r="E3" s="10" t="str">
        <f>Draft_Helper!D2</f>
        <v>Bryson DeChambeau</v>
      </c>
      <c r="F3" s="11" t="str">
        <f>IFERROR(IF(OR(VLOOKUP(E3, Scores!$C$2:$D$459, 2, FALSE)="E", VLOOKUP(E3, Scores!$C$2:$D$459, 2, FALSE)=""), 0, VLOOKUP(E3, Scores!$C$2:$D$459, 2, FALSE)),0)</f>
        <v>-</v>
      </c>
      <c r="G3" s="12" t="e">
        <f t="shared" ref="G3:G12" si="1">IF(F3="","",IF(UPPER(TRIM(SUBSTITUTE(SUBSTITUTE(F3,"(",""),")","")))="E",0,VALUE(TRIM(SUBSTITUTE(SUBSTITUTE(F3,"(",""),")","")))))</f>
        <v>#VALUE!</v>
      </c>
      <c r="I3" s="10" t="str">
        <f>Draft_Helper!F2</f>
        <v>Jon Rahm</v>
      </c>
      <c r="J3" s="11" t="str">
        <f>IFERROR(IF(OR(VLOOKUP(I3, Scores!$C$2:$D$459, 2, FALSE)="E", VLOOKUP(I3, Scores!$C$2:$D$459, 2, FALSE)=""), 0, VLOOKUP(I3, Scores!$C$2:$D$459, 2, FALSE)),0)</f>
        <v>-</v>
      </c>
      <c r="K3" s="12" t="e">
        <f t="shared" ref="K3:K12" si="2">IF(J3="","",IF(UPPER(TRIM(SUBSTITUTE(SUBSTITUTE(J3,"(",""),")","")))="E",0,VALUE(TRIM(SUBSTITUTE(SUBSTITUTE(J3,"(",""),")","")))))</f>
        <v>#VALUE!</v>
      </c>
      <c r="M3" s="10" t="str">
        <f>Draft_Helper!H2</f>
        <v>Ludvig Åberg</v>
      </c>
      <c r="N3" s="11" t="str">
        <f>IFERROR(IF(OR(VLOOKUP(M3, Scores!$C$2:$D$459, 2, FALSE)="E", VLOOKUP(M3, Scores!$C$2:$D$459, 2, FALSE)=""), 0, VLOOKUP(M3, Scores!$C$2:$D$459, 2, FALSE)),0)</f>
        <v>-</v>
      </c>
      <c r="O3" s="12" t="e">
        <f t="shared" ref="O3:O12" si="3">IF(N3="","",IF(UPPER(TRIM(SUBSTITUTE(SUBSTITUTE(N3,"(",""),")","")))="E",0,VALUE(TRIM(SUBSTITUTE(SUBSTITUTE(N3,"(",""),")","")))))</f>
        <v>#VALUE!</v>
      </c>
      <c r="Q3" s="10" t="str">
        <f>Draft_Helper!J2</f>
        <v>Rory McIlroy</v>
      </c>
      <c r="R3" s="11" t="str">
        <f>IFERROR(IF(OR(VLOOKUP(Q3, Scores!$C$2:$D$459, 2, FALSE)="E", VLOOKUP(Q3, Scores!$C$2:$D$459, 2, FALSE)=""), 0, VLOOKUP(Q3, Scores!$C$2:$D$459, 2, FALSE)),0)</f>
        <v>-</v>
      </c>
      <c r="S3" s="12" t="e">
        <f t="shared" ref="S3:S12" si="4">IF(R3="","",IF(UPPER(TRIM(SUBSTITUTE(SUBSTITUTE(R3,"(",""),")","")))="E",0,VALUE(TRIM(SUBSTITUTE(SUBSTITUTE(R3,"(",""),")","")))))</f>
        <v>#VALUE!</v>
      </c>
    </row>
    <row r="4" spans="1:19" x14ac:dyDescent="0.25">
      <c r="A4" s="10" t="str">
        <f>Draft_Helper!B3</f>
        <v>Akshay Bhatia</v>
      </c>
      <c r="B4" s="11" t="str">
        <f>IFERROR(IF(OR(VLOOKUP(A4, Scores!$C$2:$D$459, 2, FALSE)="E", VLOOKUP(A4, Scores!$C$2:$D$459, 2, FALSE)=""), 0, VLOOKUP(A4, Scores!$C$2:$D$459, 2, FALSE)),0)</f>
        <v>-</v>
      </c>
      <c r="C4" s="12" t="e">
        <f t="shared" si="0"/>
        <v>#VALUE!</v>
      </c>
      <c r="E4" s="10" t="str">
        <f>Draft_Helper!D3</f>
        <v>Brooks Koepka</v>
      </c>
      <c r="F4" s="11" t="str">
        <f>IFERROR(IF(OR(VLOOKUP(E4, Scores!$C$2:$D$459, 2, FALSE)="E", VLOOKUP(E4, Scores!$C$2:$D$459, 2, FALSE)=""), 0, VLOOKUP(E4, Scores!$C$2:$D$459, 2, FALSE)),0)</f>
        <v>-</v>
      </c>
      <c r="G4" s="12" t="e">
        <f t="shared" si="1"/>
        <v>#VALUE!</v>
      </c>
      <c r="I4" s="10" t="str">
        <f>Draft_Helper!F3</f>
        <v>Russell Henley</v>
      </c>
      <c r="J4" s="11" t="str">
        <f>IFERROR(IF(OR(VLOOKUP(I4, Scores!$C$2:$D$459, 2, FALSE)="E", VLOOKUP(I4, Scores!$C$2:$D$459, 2, FALSE)=""), 0, VLOOKUP(I4, Scores!$C$2:$D$459, 2, FALSE)),0)</f>
        <v>-</v>
      </c>
      <c r="K4" s="12" t="e">
        <f t="shared" si="2"/>
        <v>#VALUE!</v>
      </c>
      <c r="M4" s="10" t="str">
        <f>Draft_Helper!H3</f>
        <v>Si Woo Kim</v>
      </c>
      <c r="N4" s="11" t="str">
        <f>IFERROR(IF(OR(VLOOKUP(M4, Scores!$C$2:$D$459, 2, FALSE)="E", VLOOKUP(M4, Scores!$C$2:$D$459, 2, FALSE)=""), 0, VLOOKUP(M4, Scores!$C$2:$D$459, 2, FALSE)),0)</f>
        <v>-</v>
      </c>
      <c r="O4" s="12" t="e">
        <f t="shared" si="3"/>
        <v>#VALUE!</v>
      </c>
      <c r="Q4" s="10" t="str">
        <f>Draft_Helper!J3</f>
        <v>Hideki Matsuyama</v>
      </c>
      <c r="R4" s="11" t="str">
        <f>IFERROR(IF(OR(VLOOKUP(Q4, Scores!$C$2:$D$459, 2, FALSE)="E", VLOOKUP(Q4, Scores!$C$2:$D$459, 2, FALSE)=""), 0, VLOOKUP(Q4, Scores!$C$2:$D$459, 2, FALSE)),0)</f>
        <v>-</v>
      </c>
      <c r="S4" s="12" t="e">
        <f t="shared" si="4"/>
        <v>#VALUE!</v>
      </c>
    </row>
    <row r="5" spans="1:19" x14ac:dyDescent="0.25">
      <c r="A5" s="10" t="str">
        <f>Draft_Helper!B4</f>
        <v>Chris Gotterup</v>
      </c>
      <c r="B5" s="11" t="str">
        <f>IFERROR(IF(OR(VLOOKUP(A5, Scores!$C$2:$D$459, 2, FALSE)="E", VLOOKUP(A5, Scores!$C$2:$D$459, 2, FALSE)=""), 0, VLOOKUP(A5, Scores!$C$2:$D$459, 2, FALSE)),0)</f>
        <v>-</v>
      </c>
      <c r="C5" s="12" t="e">
        <f t="shared" si="0"/>
        <v>#VALUE!</v>
      </c>
      <c r="E5" s="10" t="str">
        <f>Draft_Helper!D4</f>
        <v>Jake Knapp</v>
      </c>
      <c r="F5" s="11">
        <f>IFERROR(IF(OR(VLOOKUP(E5, Scores!$C$2:$D$459, 2, FALSE)="E", VLOOKUP(E5, Scores!$C$2:$D$459, 2, FALSE)=""), 0, VLOOKUP(E5, Scores!$C$2:$D$459, 2, FALSE)),0)</f>
        <v>0</v>
      </c>
      <c r="G5" s="12">
        <f t="shared" si="1"/>
        <v>0</v>
      </c>
      <c r="I5" s="10" t="str">
        <f>Draft_Helper!F4</f>
        <v>Corey Conners</v>
      </c>
      <c r="J5" s="11" t="str">
        <f>IFERROR(IF(OR(VLOOKUP(I5, Scores!$C$2:$D$459, 2, FALSE)="E", VLOOKUP(I5, Scores!$C$2:$D$459, 2, FALSE)=""), 0, VLOOKUP(I5, Scores!$C$2:$D$459, 2, FALSE)),0)</f>
        <v>-</v>
      </c>
      <c r="K5" s="12" t="e">
        <f t="shared" si="2"/>
        <v>#VALUE!</v>
      </c>
      <c r="M5" s="10" t="str">
        <f>Draft_Helper!H4</f>
        <v>Jacob Bridgeman</v>
      </c>
      <c r="N5" s="11" t="str">
        <f>IFERROR(IF(OR(VLOOKUP(M5, Scores!$C$2:$D$459, 2, FALSE)="E", VLOOKUP(M5, Scores!$C$2:$D$459, 2, FALSE)=""), 0, VLOOKUP(M5, Scores!$C$2:$D$459, 2, FALSE)),0)</f>
        <v>-</v>
      </c>
      <c r="O5" s="12" t="e">
        <f t="shared" si="3"/>
        <v>#VALUE!</v>
      </c>
      <c r="Q5" s="10" t="str">
        <f>Draft_Helper!J4</f>
        <v>J.J. Spaun</v>
      </c>
      <c r="R5" s="11" t="str">
        <f>IFERROR(IF(OR(VLOOKUP(Q5, Scores!$C$2:$D$459, 2, FALSE)="E", VLOOKUP(Q5, Scores!$C$2:$D$459, 2, FALSE)=""), 0, VLOOKUP(Q5, Scores!$C$2:$D$459, 2, FALSE)),0)</f>
        <v>-</v>
      </c>
      <c r="S5" s="12" t="e">
        <f t="shared" si="4"/>
        <v>#VALUE!</v>
      </c>
    </row>
    <row r="6" spans="1:19" x14ac:dyDescent="0.25">
      <c r="A6" s="10" t="str">
        <f>Draft_Helper!B5</f>
        <v>Patrick Cantlay</v>
      </c>
      <c r="B6" s="11" t="str">
        <f>IFERROR(IF(OR(VLOOKUP(A6, Scores!$C$2:$D$459, 2, FALSE)="E", VLOOKUP(A6, Scores!$C$2:$D$459, 2, FALSE)=""), 0, VLOOKUP(A6, Scores!$C$2:$D$459, 2, FALSE)),0)</f>
        <v>-</v>
      </c>
      <c r="C6" s="12" t="e">
        <f t="shared" si="0"/>
        <v>#VALUE!</v>
      </c>
      <c r="E6" s="10" t="str">
        <f>Draft_Helper!D5</f>
        <v>Sam Burns</v>
      </c>
      <c r="F6" s="11">
        <f>IFERROR(IF(OR(VLOOKUP(E6, Scores!$C$2:$D$459, 2, FALSE)="E", VLOOKUP(E6, Scores!$C$2:$D$459, 2, FALSE)=""), 0, VLOOKUP(E6, Scores!$C$2:$D$459, 2, FALSE)),0)</f>
        <v>0</v>
      </c>
      <c r="G6" s="12">
        <f t="shared" si="1"/>
        <v>0</v>
      </c>
      <c r="I6" s="10" t="str">
        <f>Draft_Helper!F5</f>
        <v>Maverick McNealy</v>
      </c>
      <c r="J6" s="11" t="str">
        <f>IFERROR(IF(OR(VLOOKUP(I6, Scores!$C$2:$D$459, 2, FALSE)="E", VLOOKUP(I6, Scores!$C$2:$D$459, 2, FALSE)=""), 0, VLOOKUP(I6, Scores!$C$2:$D$459, 2, FALSE)),0)</f>
        <v>-</v>
      </c>
      <c r="K6" s="12" t="e">
        <f t="shared" si="2"/>
        <v>#VALUE!</v>
      </c>
      <c r="M6" s="10" t="str">
        <f>Draft_Helper!H5</f>
        <v>Shane Lowry</v>
      </c>
      <c r="N6" s="11" t="str">
        <f>IFERROR(IF(OR(VLOOKUP(M6, Scores!$C$2:$D$459, 2, FALSE)="E", VLOOKUP(M6, Scores!$C$2:$D$459, 2, FALSE)=""), 0, VLOOKUP(M6, Scores!$C$2:$D$459, 2, FALSE)),0)</f>
        <v>-</v>
      </c>
      <c r="O6" s="12" t="e">
        <f t="shared" si="3"/>
        <v>#VALUE!</v>
      </c>
      <c r="Q6" s="10" t="str">
        <f>Draft_Helper!J5</f>
        <v>Ben Griffin</v>
      </c>
      <c r="R6" s="11" t="str">
        <f>IFERROR(IF(OR(VLOOKUP(Q6, Scores!$C$2:$D$459, 2, FALSE)="E", VLOOKUP(Q6, Scores!$C$2:$D$459, 2, FALSE)=""), 0, VLOOKUP(Q6, Scores!$C$2:$D$459, 2, FALSE)),0)</f>
        <v>-</v>
      </c>
      <c r="S6" s="12" t="e">
        <f t="shared" si="4"/>
        <v>#VALUE!</v>
      </c>
    </row>
    <row r="7" spans="1:19" x14ac:dyDescent="0.25">
      <c r="A7" s="10" t="str">
        <f>Draft_Helper!B6</f>
        <v>Harris English</v>
      </c>
      <c r="B7" s="11" t="str">
        <f>IFERROR(IF(OR(VLOOKUP(A7, Scores!$C$2:$D$459, 2, FALSE)="E", VLOOKUP(A7, Scores!$C$2:$D$459, 2, FALSE)=""), 0, VLOOKUP(A7, Scores!$C$2:$D$459, 2, FALSE)),0)</f>
        <v>-</v>
      </c>
      <c r="C7" s="12" t="e">
        <f t="shared" si="0"/>
        <v>#VALUE!</v>
      </c>
      <c r="E7" s="10" t="str">
        <f>Draft_Helper!D6</f>
        <v>Daniel Berger</v>
      </c>
      <c r="F7" s="11" t="str">
        <f>IFERROR(IF(OR(VLOOKUP(E7, Scores!$C$2:$D$459, 2, FALSE)="E", VLOOKUP(E7, Scores!$C$2:$D$459, 2, FALSE)=""), 0, VLOOKUP(E7, Scores!$C$2:$D$459, 2, FALSE)),0)</f>
        <v>-</v>
      </c>
      <c r="G7" s="12" t="e">
        <f t="shared" si="1"/>
        <v>#VALUE!</v>
      </c>
      <c r="I7" s="10" t="str">
        <f>Draft_Helper!F6</f>
        <v>Harry Hall</v>
      </c>
      <c r="J7" s="11" t="str">
        <f>IFERROR(IF(OR(VLOOKUP(I7, Scores!$C$2:$D$459, 2, FALSE)="E", VLOOKUP(I7, Scores!$C$2:$D$459, 2, FALSE)=""), 0, VLOOKUP(I7, Scores!$C$2:$D$459, 2, FALSE)),0)</f>
        <v>-</v>
      </c>
      <c r="K7" s="12" t="e">
        <f t="shared" si="2"/>
        <v>#VALUE!</v>
      </c>
      <c r="M7" s="10" t="str">
        <f>Draft_Helper!H6</f>
        <v>Keegan Bradley</v>
      </c>
      <c r="N7" s="11" t="str">
        <f>IFERROR(IF(OR(VLOOKUP(M7, Scores!$C$2:$D$459, 2, FALSE)="E", VLOOKUP(M7, Scores!$C$2:$D$459, 2, FALSE)=""), 0, VLOOKUP(M7, Scores!$C$2:$D$459, 2, FALSE)),0)</f>
        <v>+1</v>
      </c>
      <c r="O7" s="12">
        <f t="shared" si="3"/>
        <v>1</v>
      </c>
      <c r="Q7" s="10" t="str">
        <f>Draft_Helper!J6</f>
        <v>Kurt Kitayama</v>
      </c>
      <c r="R7" s="11" t="str">
        <f>IFERROR(IF(OR(VLOOKUP(Q7, Scores!$C$2:$D$459, 2, FALSE)="E", VLOOKUP(Q7, Scores!$C$2:$D$459, 2, FALSE)=""), 0, VLOOKUP(Q7, Scores!$C$2:$D$459, 2, FALSE)),0)</f>
        <v>-1</v>
      </c>
      <c r="S7" s="12">
        <f t="shared" si="4"/>
        <v>-1</v>
      </c>
    </row>
    <row r="8" spans="1:19" x14ac:dyDescent="0.25">
      <c r="A8" s="10" t="str">
        <f>Draft_Helper!B7</f>
        <v>Aaron Rai</v>
      </c>
      <c r="B8" s="11" t="str">
        <f>IFERROR(IF(OR(VLOOKUP(A8, Scores!$C$2:$D$459, 2, FALSE)="E", VLOOKUP(A8, Scores!$C$2:$D$459, 2, FALSE)=""), 0, VLOOKUP(A8, Scores!$C$2:$D$459, 2, FALSE)),0)</f>
        <v>-</v>
      </c>
      <c r="C8" s="12" t="e">
        <f t="shared" si="0"/>
        <v>#VALUE!</v>
      </c>
      <c r="E8" s="10" t="str">
        <f>Draft_Helper!D7</f>
        <v>Aldrich Potgieter</v>
      </c>
      <c r="F8" s="11" t="str">
        <f>IFERROR(IF(OR(VLOOKUP(E8, Scores!$C$2:$D$459, 2, FALSE)="E", VLOOKUP(E8, Scores!$C$2:$D$459, 2, FALSE)=""), 0, VLOOKUP(E8, Scores!$C$2:$D$459, 2, FALSE)),0)</f>
        <v>+4</v>
      </c>
      <c r="G8" s="12">
        <f t="shared" si="1"/>
        <v>4</v>
      </c>
      <c r="I8" s="10" t="str">
        <f>Draft_Helper!F7</f>
        <v>Nick Taylor</v>
      </c>
      <c r="J8" s="11">
        <f>IFERROR(IF(OR(VLOOKUP(I8, Scores!$C$2:$D$459, 2, FALSE)="E", VLOOKUP(I8, Scores!$C$2:$D$459, 2, FALSE)=""), 0, VLOOKUP(I8, Scores!$C$2:$D$459, 2, FALSE)),0)</f>
        <v>0</v>
      </c>
      <c r="K8" s="12">
        <f t="shared" si="2"/>
        <v>0</v>
      </c>
      <c r="M8" s="10" t="str">
        <f>Draft_Helper!H7</f>
        <v>Alex Noren</v>
      </c>
      <c r="N8" s="11" t="str">
        <f>IFERROR(IF(OR(VLOOKUP(M8, Scores!$C$2:$D$459, 2, FALSE)="E", VLOOKUP(M8, Scores!$C$2:$D$459, 2, FALSE)=""), 0, VLOOKUP(M8, Scores!$C$2:$D$459, 2, FALSE)),0)</f>
        <v>-</v>
      </c>
      <c r="O8" s="12" t="e">
        <f t="shared" si="3"/>
        <v>#VALUE!</v>
      </c>
      <c r="Q8" s="10" t="str">
        <f>Draft_Helper!J7</f>
        <v>Matt McCarty</v>
      </c>
      <c r="R8" s="11">
        <f>IFERROR(IF(OR(VLOOKUP(Q8, Scores!$C$2:$D$459, 2, FALSE)="E", VLOOKUP(Q8, Scores!$C$2:$D$459, 2, FALSE)=""), 0, VLOOKUP(Q8, Scores!$C$2:$D$459, 2, FALSE)),0)</f>
        <v>0</v>
      </c>
      <c r="S8" s="12">
        <f t="shared" si="4"/>
        <v>0</v>
      </c>
    </row>
    <row r="9" spans="1:19" x14ac:dyDescent="0.25">
      <c r="A9" s="10" t="str">
        <f>Draft_Helper!B8</f>
        <v>Casey Jarvis</v>
      </c>
      <c r="B9" s="11" t="str">
        <f>IFERROR(IF(OR(VLOOKUP(A9, Scores!$C$2:$D$459, 2, FALSE)="E", VLOOKUP(A9, Scores!$C$2:$D$459, 2, FALSE)=""), 0, VLOOKUP(A9, Scores!$C$2:$D$459, 2, FALSE)),0)</f>
        <v>-1</v>
      </c>
      <c r="C9" s="12">
        <f t="shared" si="0"/>
        <v>-1</v>
      </c>
      <c r="E9" s="10" t="str">
        <f>Draft_Helper!D8</f>
        <v>Max Greyserman</v>
      </c>
      <c r="F9" s="11">
        <f>IFERROR(IF(OR(VLOOKUP(E9, Scores!$C$2:$D$459, 2, FALSE)="E", VLOOKUP(E9, Scores!$C$2:$D$459, 2, FALSE)=""), 0, VLOOKUP(E9, Scores!$C$2:$D$459, 2, FALSE)),0)</f>
        <v>0</v>
      </c>
      <c r="G9" s="12">
        <f t="shared" si="1"/>
        <v>0</v>
      </c>
      <c r="I9" s="10" t="str">
        <f>Draft_Helper!F8</f>
        <v>Michael Kim</v>
      </c>
      <c r="J9" s="11" t="str">
        <f>IFERROR(IF(OR(VLOOKUP(I9, Scores!$C$2:$D$459, 2, FALSE)="E", VLOOKUP(I9, Scores!$C$2:$D$459, 2, FALSE)=""), 0, VLOOKUP(I9, Scores!$C$2:$D$459, 2, FALSE)),0)</f>
        <v>-</v>
      </c>
      <c r="K9" s="12" t="e">
        <f t="shared" si="2"/>
        <v>#VALUE!</v>
      </c>
      <c r="M9" s="10" t="str">
        <f>Draft_Helper!H8</f>
        <v>Rasmus Neergaard-Petersen</v>
      </c>
      <c r="N9" s="11" t="str">
        <f>IFERROR(IF(OR(VLOOKUP(M9, Scores!$C$2:$D$459, 2, FALSE)="E", VLOOKUP(M9, Scores!$C$2:$D$459, 2, FALSE)=""), 0, VLOOKUP(M9, Scores!$C$2:$D$459, 2, FALSE)),0)</f>
        <v>+1</v>
      </c>
      <c r="O9" s="12">
        <f t="shared" si="3"/>
        <v>1</v>
      </c>
      <c r="Q9" s="10" t="str">
        <f>Draft_Helper!J8</f>
        <v>Kristoffer Reitan</v>
      </c>
      <c r="R9" s="11" t="str">
        <f>IFERROR(IF(OR(VLOOKUP(Q9, Scores!$C$2:$D$459, 2, FALSE)="E", VLOOKUP(Q9, Scores!$C$2:$D$459, 2, FALSE)=""), 0, VLOOKUP(Q9, Scores!$C$2:$D$459, 2, FALSE)),0)</f>
        <v>+1</v>
      </c>
      <c r="S9" s="12">
        <f t="shared" si="4"/>
        <v>1</v>
      </c>
    </row>
    <row r="10" spans="1:19" x14ac:dyDescent="0.25">
      <c r="A10" s="10" t="str">
        <f>Draft_Helper!B9</f>
        <v>Fifa Laopakdee (a)</v>
      </c>
      <c r="B10" s="11" t="str">
        <f>IFERROR(IF(OR(VLOOKUP(A10, Scores!$C$2:$D$459, 2, FALSE)="E", VLOOKUP(A10, Scores!$C$2:$D$459, 2, FALSE)=""), 0, VLOOKUP(A10, Scores!$C$2:$D$459, 2, FALSE)),0)</f>
        <v>-</v>
      </c>
      <c r="C10" s="12" t="e">
        <f t="shared" si="0"/>
        <v>#VALUE!</v>
      </c>
      <c r="E10" s="10" t="str">
        <f>Draft_Helper!D9</f>
        <v>Mason Howell (a)</v>
      </c>
      <c r="F10" s="11" t="str">
        <f>IFERROR(IF(OR(VLOOKUP(E10, Scores!$C$2:$D$459, 2, FALSE)="E", VLOOKUP(E10, Scores!$C$2:$D$459, 2, FALSE)=""), 0, VLOOKUP(E10, Scores!$C$2:$D$459, 2, FALSE)),0)</f>
        <v>-</v>
      </c>
      <c r="G10" s="12" t="e">
        <f t="shared" si="1"/>
        <v>#VALUE!</v>
      </c>
      <c r="I10" s="10" t="str">
        <f>Draft_Helper!F9</f>
        <v>Danny Willett</v>
      </c>
      <c r="J10" s="11" t="str">
        <f>IFERROR(IF(OR(VLOOKUP(I10, Scores!$C$2:$D$459, 2, FALSE)="E", VLOOKUP(I10, Scores!$C$2:$D$459, 2, FALSE)=""), 0, VLOOKUP(I10, Scores!$C$2:$D$459, 2, FALSE)),0)</f>
        <v>-</v>
      </c>
      <c r="K10" s="12" t="e">
        <f t="shared" si="2"/>
        <v>#VALUE!</v>
      </c>
      <c r="M10" s="10" t="str">
        <f>Draft_Helper!H9</f>
        <v>Davis Riley</v>
      </c>
      <c r="N10" s="11" t="str">
        <f>IFERROR(IF(OR(VLOOKUP(M10, Scores!$C$2:$D$459, 2, FALSE)="E", VLOOKUP(M10, Scores!$C$2:$D$459, 2, FALSE)=""), 0, VLOOKUP(M10, Scores!$C$2:$D$459, 2, FALSE)),0)</f>
        <v>-</v>
      </c>
      <c r="O10" s="12" t="e">
        <f t="shared" si="3"/>
        <v>#VALUE!</v>
      </c>
      <c r="Q10" s="10" t="str">
        <f>Draft_Helper!J9</f>
        <v>Brian Campbell</v>
      </c>
      <c r="R10" s="11" t="str">
        <f>IFERROR(IF(OR(VLOOKUP(Q10, Scores!$C$2:$D$459, 2, FALSE)="E", VLOOKUP(Q10, Scores!$C$2:$D$459, 2, FALSE)=""), 0, VLOOKUP(Q10, Scores!$C$2:$D$459, 2, FALSE)),0)</f>
        <v>-</v>
      </c>
      <c r="S10" s="12" t="e">
        <f t="shared" si="4"/>
        <v>#VALUE!</v>
      </c>
    </row>
    <row r="11" spans="1:19" x14ac:dyDescent="0.25">
      <c r="A11" s="10" t="str">
        <f>Draft_Helper!B10</f>
        <v>Ethan Fang (a)</v>
      </c>
      <c r="B11" s="11" t="str">
        <f>IFERROR(IF(OR(VLOOKUP(A11, Scores!$C$2:$D$459, 2, FALSE)="E", VLOOKUP(A11, Scores!$C$2:$D$459, 2, FALSE)=""), 0, VLOOKUP(A11, Scores!$C$2:$D$459, 2, FALSE)),0)</f>
        <v>-</v>
      </c>
      <c r="C11" s="12" t="e">
        <f t="shared" si="0"/>
        <v>#VALUE!</v>
      </c>
      <c r="E11" s="10" t="str">
        <f>Draft_Helper!D10</f>
        <v>Jackson Herrington (a)</v>
      </c>
      <c r="F11" s="11">
        <f>IFERROR(IF(OR(VLOOKUP(E11, Scores!$C$2:$D$459, 2, FALSE)="E", VLOOKUP(E11, Scores!$C$2:$D$459, 2, FALSE)=""), 0, VLOOKUP(E11, Scores!$C$2:$D$459, 2, FALSE)),0)</f>
        <v>0</v>
      </c>
      <c r="G11" s="12">
        <f t="shared" si="1"/>
        <v>0</v>
      </c>
      <c r="I11" s="10" t="str">
        <f>Draft_Helper!F10</f>
        <v>Naoyuki Kataoka</v>
      </c>
      <c r="J11" s="11" t="str">
        <f>IFERROR(IF(OR(VLOOKUP(I11, Scores!$C$2:$D$459, 2, FALSE)="E", VLOOKUP(I11, Scores!$C$2:$D$459, 2, FALSE)=""), 0, VLOOKUP(I11, Scores!$C$2:$D$459, 2, FALSE)),0)</f>
        <v>+3</v>
      </c>
      <c r="K11" s="12">
        <f t="shared" si="2"/>
        <v>3</v>
      </c>
      <c r="M11" s="10" t="str">
        <f>Draft_Helper!H10</f>
        <v>Brandon Holtz (a)</v>
      </c>
      <c r="N11" s="11">
        <f>IFERROR(IF(OR(VLOOKUP(M11, Scores!$C$2:$D$459, 2, FALSE)="E", VLOOKUP(M11, Scores!$C$2:$D$459, 2, FALSE)=""), 0, VLOOKUP(M11, Scores!$C$2:$D$459, 2, FALSE)),0)</f>
        <v>0</v>
      </c>
      <c r="O11" s="12">
        <f t="shared" si="3"/>
        <v>0</v>
      </c>
      <c r="Q11" s="10" t="str">
        <f>Draft_Helper!J10</f>
        <v>Mateo Pulcini (a)</v>
      </c>
      <c r="R11" s="11" t="str">
        <f>IFERROR(IF(OR(VLOOKUP(Q11, Scores!$C$2:$D$459, 2, FALSE)="E", VLOOKUP(Q11, Scores!$C$2:$D$459, 2, FALSE)=""), 0, VLOOKUP(Q11, Scores!$C$2:$D$459, 2, FALSE)),0)</f>
        <v>-</v>
      </c>
      <c r="S11" s="12" t="e">
        <f t="shared" si="4"/>
        <v>#VALUE!</v>
      </c>
    </row>
    <row r="12" spans="1:19" x14ac:dyDescent="0.25">
      <c r="A12" s="10" t="str">
        <f>Draft_Helper!B11</f>
        <v/>
      </c>
      <c r="B12" s="11"/>
      <c r="C12" s="12" t="str">
        <f t="shared" si="0"/>
        <v/>
      </c>
      <c r="E12" s="10" t="str">
        <f>Draft_Helper!D11</f>
        <v/>
      </c>
      <c r="F12" s="11"/>
      <c r="G12" s="12" t="str">
        <f t="shared" si="1"/>
        <v/>
      </c>
      <c r="I12" s="10" t="str">
        <f>Draft_Helper!F11</f>
        <v/>
      </c>
      <c r="J12" s="11"/>
      <c r="K12" s="12" t="str">
        <f t="shared" si="2"/>
        <v/>
      </c>
      <c r="M12" s="10" t="str">
        <f>Draft_Helper!H11</f>
        <v/>
      </c>
      <c r="N12" s="11"/>
      <c r="O12" s="12" t="str">
        <f t="shared" si="3"/>
        <v/>
      </c>
      <c r="Q12" s="10" t="str">
        <f>Draft_Helper!J11</f>
        <v/>
      </c>
      <c r="R12" s="11"/>
      <c r="S12" s="12" t="str">
        <f t="shared" si="4"/>
        <v/>
      </c>
    </row>
    <row r="13" spans="1:19" x14ac:dyDescent="0.25">
      <c r="A13" s="27" t="s">
        <v>208</v>
      </c>
      <c r="B13" s="28"/>
      <c r="C13" s="13">
        <f>IF(COUNT(C3:C12)=0,"",SUM(IFERROR(SMALL(C3:C12,1),0),IFERROR(SMALL(C3:C12,2),0),IFERROR(SMALL(C3:C12,3),0)))</f>
        <v>0</v>
      </c>
      <c r="E13" s="27" t="s">
        <v>208</v>
      </c>
      <c r="F13" s="28"/>
      <c r="G13" s="13">
        <f>IF(COUNT(G3:G12)=0,"",SUM(IFERROR(SMALL(G3:G12,1),0),IFERROR(SMALL(G3:G12,2),0),IFERROR(SMALL(G3:G12,3),0)))</f>
        <v>0</v>
      </c>
      <c r="I13" s="27" t="s">
        <v>208</v>
      </c>
      <c r="J13" s="28"/>
      <c r="K13" s="13">
        <f>IF(COUNT(K3:K12)=0,"",SUM(IFERROR(SMALL(K3:K12,1),0),IFERROR(SMALL(K3:K12,2),0),IFERROR(SMALL(K3:K12,3),0)))</f>
        <v>0</v>
      </c>
      <c r="M13" s="27" t="s">
        <v>208</v>
      </c>
      <c r="N13" s="28"/>
      <c r="O13" s="13">
        <f>IF(COUNT(O3:O12)=0,"",SUM(IFERROR(SMALL(O3:O12,1),0),IFERROR(SMALL(O3:O12,2),0),IFERROR(SMALL(O3:O12,3),0)))</f>
        <v>0</v>
      </c>
      <c r="Q13" s="27" t="s">
        <v>208</v>
      </c>
      <c r="R13" s="28"/>
      <c r="S13" s="13">
        <f>IF(COUNT(S3:S12)=0,"",SUM(IFERROR(SMALL(S3:S12,1),0),IFERROR(SMALL(S3:S12,2),0),IFERROR(SMALL(S3:S12,3),0)))</f>
        <v>0</v>
      </c>
    </row>
    <row r="16" spans="1:19" x14ac:dyDescent="0.25">
      <c r="A16" s="29" t="str">
        <f>Draft_Helper!K1</f>
        <v>Coulter</v>
      </c>
      <c r="B16" s="28"/>
      <c r="C16" s="28"/>
      <c r="E16" s="29" t="str">
        <f>Draft_Helper!M1</f>
        <v>Klooster</v>
      </c>
      <c r="F16" s="28"/>
      <c r="G16" s="28"/>
      <c r="I16" s="29" t="str">
        <f>Draft_Helper!O1</f>
        <v>Adam &amp; Kevin</v>
      </c>
      <c r="J16" s="28"/>
      <c r="K16" s="28"/>
      <c r="M16" s="29" t="str">
        <f>Draft_Helper!Q1</f>
        <v>Asshole Garrett</v>
      </c>
      <c r="N16" s="28"/>
      <c r="O16" s="28"/>
      <c r="Q16" s="29" t="str">
        <f>Draft_Helper!S1</f>
        <v>Cool Tony</v>
      </c>
      <c r="R16" s="28"/>
      <c r="S16" s="28"/>
    </row>
    <row r="17" spans="1:19" x14ac:dyDescent="0.25">
      <c r="A17" s="9" t="s">
        <v>21</v>
      </c>
      <c r="B17" s="9" t="s">
        <v>22</v>
      </c>
      <c r="C17" s="9" t="s">
        <v>23</v>
      </c>
      <c r="E17" s="9" t="s">
        <v>21</v>
      </c>
      <c r="F17" s="9" t="s">
        <v>22</v>
      </c>
      <c r="G17" s="9" t="s">
        <v>23</v>
      </c>
      <c r="I17" s="9" t="s">
        <v>21</v>
      </c>
      <c r="J17" s="9" t="s">
        <v>22</v>
      </c>
      <c r="K17" s="9" t="s">
        <v>23</v>
      </c>
      <c r="M17" s="9" t="s">
        <v>21</v>
      </c>
      <c r="N17" s="9" t="s">
        <v>22</v>
      </c>
      <c r="O17" s="9" t="s">
        <v>23</v>
      </c>
      <c r="Q17" s="9" t="s">
        <v>21</v>
      </c>
      <c r="R17" s="9" t="s">
        <v>22</v>
      </c>
      <c r="S17" s="9" t="s">
        <v>23</v>
      </c>
    </row>
    <row r="18" spans="1:19" x14ac:dyDescent="0.25">
      <c r="A18" s="10" t="str">
        <f>Draft_Helper!L2</f>
        <v>Xander Schauffele</v>
      </c>
      <c r="B18" s="11" t="str">
        <f>IFERROR(IF(OR(VLOOKUP(A18, Scores!$C$2:$D$459, 2, FALSE)="E", VLOOKUP(A18, Scores!$C$2:$D$459, 2, FALSE)=""), 0, VLOOKUP(A18, Scores!$C$2:$D$459, 2, FALSE)),0)</f>
        <v>-</v>
      </c>
      <c r="C18" s="12" t="e">
        <f t="shared" ref="C18:C27" si="5">IF(B18="","",IF(UPPER(TRIM(SUBSTITUTE(SUBSTITUTE(B18,"(",""),")","")))="E",0,VALUE(TRIM(SUBSTITUTE(SUBSTITUTE(B18,"(",""),")","")))))</f>
        <v>#VALUE!</v>
      </c>
      <c r="E18" s="10" t="str">
        <f>Draft_Helper!N2</f>
        <v>Justin Rose</v>
      </c>
      <c r="F18" s="11" t="str">
        <f>IFERROR(IF(OR(VLOOKUP(E18, Scores!$C$2:$D$459, 2, FALSE)="E", VLOOKUP(E18, Scores!$C$2:$D$459, 2, FALSE)=""), 0, VLOOKUP(E18, Scores!$C$2:$D$459, 2, FALSE)),0)</f>
        <v>-</v>
      </c>
      <c r="G18" s="12" t="e">
        <f t="shared" ref="G18:G27" si="6">IF(F18="","",IF(UPPER(TRIM(SUBSTITUTE(SUBSTITUTE(F18,"(",""),")","")))="E",0,VALUE(TRIM(SUBSTITUTE(SUBSTITUTE(F18,"(",""),")","")))))</f>
        <v>#VALUE!</v>
      </c>
      <c r="I18" s="10" t="str">
        <f>Draft_Helper!P2</f>
        <v>Cameron Young</v>
      </c>
      <c r="J18" s="11" t="str">
        <f>IFERROR(IF(OR(VLOOKUP(I18, Scores!$C$2:$D$459, 2, FALSE)="E", VLOOKUP(I18, Scores!$C$2:$D$459, 2, FALSE)=""), 0, VLOOKUP(I18, Scores!$C$2:$D$459, 2, FALSE)),0)</f>
        <v>-</v>
      </c>
      <c r="K18" s="12" t="e">
        <f t="shared" ref="K18:K27" si="7">IF(J18="","",IF(UPPER(TRIM(SUBSTITUTE(SUBSTITUTE(J18,"(",""),")","")))="E",0,VALUE(TRIM(SUBSTITUTE(SUBSTITUTE(J18,"(",""),")","")))))</f>
        <v>#VALUE!</v>
      </c>
      <c r="M18" s="10" t="str">
        <f>Draft_Helper!R2</f>
        <v>Collin Morikawa</v>
      </c>
      <c r="N18" s="11" t="str">
        <f>IFERROR(IF(OR(VLOOKUP(M18, Scores!$C$2:$D$459, 2, FALSE)="E", VLOOKUP(M18, Scores!$C$2:$D$459, 2, FALSE)=""), 0, VLOOKUP(M18, Scores!$C$2:$D$459, 2, FALSE)),0)</f>
        <v>-</v>
      </c>
      <c r="O18" s="12" t="e">
        <f t="shared" ref="O18:O27" si="8">IF(N18="","",IF(UPPER(TRIM(SUBSTITUTE(SUBSTITUTE(N18,"(",""),")","")))="E",0,VALUE(TRIM(SUBSTITUTE(SUBSTITUTE(N18,"(",""),")","")))))</f>
        <v>#VALUE!</v>
      </c>
      <c r="Q18" s="10" t="str">
        <f>Draft_Helper!T2</f>
        <v>Tommy Fleetwood</v>
      </c>
      <c r="R18" s="11" t="str">
        <f>IFERROR(IF(OR(VLOOKUP(Q18, Scores!$C$2:$D$459, 2, FALSE)="E", VLOOKUP(Q18, Scores!$C$2:$D$459, 2, FALSE)=""), 0, VLOOKUP(Q18, Scores!$C$2:$D$459, 2, FALSE)),0)</f>
        <v>-</v>
      </c>
      <c r="S18" s="12" t="e">
        <f t="shared" ref="S18:S27" si="9">IF(R18="","",IF(UPPER(TRIM(SUBSTITUTE(SUBSTITUTE(R18,"(",""),")","")))="E",0,VALUE(TRIM(SUBSTITUTE(SUBSTITUTE(R18,"(",""),")","")))))</f>
        <v>#VALUE!</v>
      </c>
    </row>
    <row r="19" spans="1:19" x14ac:dyDescent="0.25">
      <c r="A19" s="10" t="str">
        <f>Draft_Helper!L3</f>
        <v>Jordan Spieth</v>
      </c>
      <c r="B19" s="11" t="str">
        <f>IFERROR(IF(OR(VLOOKUP(A19, Scores!$C$2:$D$459, 2, FALSE)="E", VLOOKUP(A19, Scores!$C$2:$D$459, 2, FALSE)=""), 0, VLOOKUP(A19, Scores!$C$2:$D$459, 2, FALSE)),0)</f>
        <v>-</v>
      </c>
      <c r="C19" s="12" t="e">
        <f t="shared" si="5"/>
        <v>#VALUE!</v>
      </c>
      <c r="E19" s="10" t="str">
        <f>Draft_Helper!N3</f>
        <v>Robert MacIntyre</v>
      </c>
      <c r="F19" s="11" t="str">
        <f>IFERROR(IF(OR(VLOOKUP(E19, Scores!$C$2:$D$459, 2, FALSE)="E", VLOOKUP(E19, Scores!$C$2:$D$459, 2, FALSE)=""), 0, VLOOKUP(E19, Scores!$C$2:$D$459, 2, FALSE)),0)</f>
        <v>-</v>
      </c>
      <c r="G19" s="12" t="e">
        <f t="shared" si="6"/>
        <v>#VALUE!</v>
      </c>
      <c r="I19" s="10" t="str">
        <f>Draft_Helper!P3</f>
        <v>Patrick Reed</v>
      </c>
      <c r="J19" s="11" t="str">
        <f>IFERROR(IF(OR(VLOOKUP(I19, Scores!$C$2:$D$459, 2, FALSE)="E", VLOOKUP(I19, Scores!$C$2:$D$459, 2, FALSE)=""), 0, VLOOKUP(I19, Scores!$C$2:$D$459, 2, FALSE)),0)</f>
        <v>-</v>
      </c>
      <c r="K19" s="12" t="e">
        <f t="shared" si="7"/>
        <v>#VALUE!</v>
      </c>
      <c r="M19" s="10" t="str">
        <f>Draft_Helper!R3</f>
        <v>Min Woo Lee</v>
      </c>
      <c r="N19" s="11" t="str">
        <f>IFERROR(IF(OR(VLOOKUP(M19, Scores!$C$2:$D$459, 2, FALSE)="E", VLOOKUP(M19, Scores!$C$2:$D$459, 2, FALSE)=""), 0, VLOOKUP(M19, Scores!$C$2:$D$459, 2, FALSE)),0)</f>
        <v>-</v>
      </c>
      <c r="O19" s="12" t="e">
        <f t="shared" si="8"/>
        <v>#VALUE!</v>
      </c>
      <c r="Q19" s="10" t="str">
        <f>Draft_Helper!T3</f>
        <v>Matt Fitzpatrick</v>
      </c>
      <c r="R19" s="11" t="str">
        <f>IFERROR(IF(OR(VLOOKUP(Q19, Scores!$C$2:$D$459, 2, FALSE)="E", VLOOKUP(Q19, Scores!$C$2:$D$459, 2, FALSE)=""), 0, VLOOKUP(Q19, Scores!$C$2:$D$459, 2, FALSE)),0)</f>
        <v>-</v>
      </c>
      <c r="S19" s="12" t="e">
        <f t="shared" si="9"/>
        <v>#VALUE!</v>
      </c>
    </row>
    <row r="20" spans="1:19" x14ac:dyDescent="0.25">
      <c r="A20" s="10" t="str">
        <f>Draft_Helper!L4</f>
        <v>Justin Thomas</v>
      </c>
      <c r="B20" s="11" t="str">
        <f>IFERROR(IF(OR(VLOOKUP(A20, Scores!$C$2:$D$459, 2, FALSE)="E", VLOOKUP(A20, Scores!$C$2:$D$459, 2, FALSE)=""), 0, VLOOKUP(A20, Scores!$C$2:$D$459, 2, FALSE)),0)</f>
        <v>-</v>
      </c>
      <c r="C20" s="12" t="e">
        <f t="shared" si="5"/>
        <v>#VALUE!</v>
      </c>
      <c r="E20" s="10" t="str">
        <f>Draft_Helper!N4</f>
        <v>Nicolai Højgaard</v>
      </c>
      <c r="F20" s="11" t="str">
        <f>IFERROR(IF(OR(VLOOKUP(E20, Scores!$C$2:$D$459, 2, FALSE)="E", VLOOKUP(E20, Scores!$C$2:$D$459, 2, FALSE)=""), 0, VLOOKUP(E20, Scores!$C$2:$D$459, 2, FALSE)),0)</f>
        <v>-</v>
      </c>
      <c r="G20" s="12" t="e">
        <f t="shared" si="6"/>
        <v>#VALUE!</v>
      </c>
      <c r="I20" s="10" t="str">
        <f>Draft_Helper!P4</f>
        <v>Cameron Smith</v>
      </c>
      <c r="J20" s="11" t="str">
        <f>IFERROR(IF(OR(VLOOKUP(I20, Scores!$C$2:$D$459, 2, FALSE)="E", VLOOKUP(I20, Scores!$C$2:$D$459, 2, FALSE)=""), 0, VLOOKUP(I20, Scores!$C$2:$D$459, 2, FALSE)),0)</f>
        <v>+1</v>
      </c>
      <c r="K20" s="12">
        <f t="shared" si="7"/>
        <v>1</v>
      </c>
      <c r="M20" s="10" t="str">
        <f>Draft_Helper!R4</f>
        <v>Max Homa</v>
      </c>
      <c r="N20" s="11" t="str">
        <f>IFERROR(IF(OR(VLOOKUP(M20, Scores!$C$2:$D$459, 2, FALSE)="E", VLOOKUP(M20, Scores!$C$2:$D$459, 2, FALSE)=""), 0, VLOOKUP(M20, Scores!$C$2:$D$459, 2, FALSE)),0)</f>
        <v>+1</v>
      </c>
      <c r="O20" s="12">
        <f t="shared" si="8"/>
        <v>1</v>
      </c>
      <c r="Q20" s="10" t="str">
        <f>Draft_Helper!T4</f>
        <v>Viktor Hovland</v>
      </c>
      <c r="R20" s="11" t="str">
        <f>IFERROR(IF(OR(VLOOKUP(Q20, Scores!$C$2:$D$459, 2, FALSE)="E", VLOOKUP(Q20, Scores!$C$2:$D$459, 2, FALSE)=""), 0, VLOOKUP(Q20, Scores!$C$2:$D$459, 2, FALSE)),0)</f>
        <v>-</v>
      </c>
      <c r="S20" s="12" t="e">
        <f t="shared" si="9"/>
        <v>#VALUE!</v>
      </c>
    </row>
    <row r="21" spans="1:19" x14ac:dyDescent="0.25">
      <c r="A21" s="10" t="str">
        <f>Draft_Helper!L5</f>
        <v>Tyrrell Hatton</v>
      </c>
      <c r="B21" s="11" t="str">
        <f>IFERROR(IF(OR(VLOOKUP(A21, Scores!$C$2:$D$459, 2, FALSE)="E", VLOOKUP(A21, Scores!$C$2:$D$459, 2, FALSE)=""), 0, VLOOKUP(A21, Scores!$C$2:$D$459, 2, FALSE)),0)</f>
        <v>-</v>
      </c>
      <c r="C21" s="12" t="e">
        <f t="shared" si="5"/>
        <v>#VALUE!</v>
      </c>
      <c r="E21" s="10" t="str">
        <f>Draft_Helper!N5</f>
        <v>Adam Scott</v>
      </c>
      <c r="F21" s="11" t="str">
        <f>IFERROR(IF(OR(VLOOKUP(E21, Scores!$C$2:$D$459, 2, FALSE)="E", VLOOKUP(E21, Scores!$C$2:$D$459, 2, FALSE)=""), 0, VLOOKUP(E21, Scores!$C$2:$D$459, 2, FALSE)),0)</f>
        <v>-</v>
      </c>
      <c r="G21" s="12" t="e">
        <f t="shared" si="6"/>
        <v>#VALUE!</v>
      </c>
      <c r="I21" s="10" t="str">
        <f>Draft_Helper!P5</f>
        <v>Sepp Straka</v>
      </c>
      <c r="J21" s="11" t="str">
        <f>IFERROR(IF(OR(VLOOKUP(I21, Scores!$C$2:$D$459, 2, FALSE)="E", VLOOKUP(I21, Scores!$C$2:$D$459, 2, FALSE)=""), 0, VLOOKUP(I21, Scores!$C$2:$D$459, 2, FALSE)),0)</f>
        <v>-</v>
      </c>
      <c r="K21" s="12" t="e">
        <f t="shared" si="7"/>
        <v>#VALUE!</v>
      </c>
      <c r="M21" s="10" t="str">
        <f>Draft_Helper!R5</f>
        <v>Sungjae Im</v>
      </c>
      <c r="N21" s="11" t="str">
        <f>IFERROR(IF(OR(VLOOKUP(M21, Scores!$C$2:$D$459, 2, FALSE)="E", VLOOKUP(M21, Scores!$C$2:$D$459, 2, FALSE)=""), 0, VLOOKUP(M21, Scores!$C$2:$D$459, 2, FALSE)),0)</f>
        <v>-</v>
      </c>
      <c r="O21" s="12" t="e">
        <f t="shared" si="8"/>
        <v>#VALUE!</v>
      </c>
      <c r="Q21" s="10" t="str">
        <f>Draft_Helper!T5</f>
        <v>Jason Day</v>
      </c>
      <c r="R21" s="11" t="str">
        <f>IFERROR(IF(OR(VLOOKUP(Q21, Scores!$C$2:$D$459, 2, FALSE)="E", VLOOKUP(Q21, Scores!$C$2:$D$459, 2, FALSE)=""), 0, VLOOKUP(Q21, Scores!$C$2:$D$459, 2, FALSE)),0)</f>
        <v>-</v>
      </c>
      <c r="S21" s="12" t="e">
        <f t="shared" si="9"/>
        <v>#VALUE!</v>
      </c>
    </row>
    <row r="22" spans="1:19" x14ac:dyDescent="0.25">
      <c r="A22" s="10" t="str">
        <f>Draft_Helper!L6</f>
        <v>Dustin Johnson</v>
      </c>
      <c r="B22" s="11" t="str">
        <f>IFERROR(IF(OR(VLOOKUP(A22, Scores!$C$2:$D$459, 2, FALSE)="E", VLOOKUP(A22, Scores!$C$2:$D$459, 2, FALSE)=""), 0, VLOOKUP(A22, Scores!$C$2:$D$459, 2, FALSE)),0)</f>
        <v>-</v>
      </c>
      <c r="C22" s="12" t="e">
        <f t="shared" si="5"/>
        <v>#VALUE!</v>
      </c>
      <c r="E22" s="10" t="str">
        <f>Draft_Helper!N6</f>
        <v>Marco Penge</v>
      </c>
      <c r="F22" s="11" t="str">
        <f>IFERROR(IF(OR(VLOOKUP(E22, Scores!$C$2:$D$459, 2, FALSE)="E", VLOOKUP(E22, Scores!$C$2:$D$459, 2, FALSE)=""), 0, VLOOKUP(E22, Scores!$C$2:$D$459, 2, FALSE)),0)</f>
        <v>-</v>
      </c>
      <c r="G22" s="12" t="e">
        <f t="shared" si="6"/>
        <v>#VALUE!</v>
      </c>
      <c r="I22" s="10" t="str">
        <f>Draft_Helper!P6</f>
        <v>Ryan Fox</v>
      </c>
      <c r="J22" s="11" t="str">
        <f>IFERROR(IF(OR(VLOOKUP(I22, Scores!$C$2:$D$459, 2, FALSE)="E", VLOOKUP(I22, Scores!$C$2:$D$459, 2, FALSE)=""), 0, VLOOKUP(I22, Scores!$C$2:$D$459, 2, FALSE)),0)</f>
        <v>+3</v>
      </c>
      <c r="K22" s="12">
        <f t="shared" si="7"/>
        <v>3</v>
      </c>
      <c r="M22" s="10" t="str">
        <f>Draft_Helper!R6</f>
        <v>Rasmus Højgaard</v>
      </c>
      <c r="N22" s="11">
        <f>IFERROR(IF(OR(VLOOKUP(M22, Scores!$C$2:$D$459, 2, FALSE)="E", VLOOKUP(M22, Scores!$C$2:$D$459, 2, FALSE)=""), 0, VLOOKUP(M22, Scores!$C$2:$D$459, 2, FALSE)),0)</f>
        <v>0</v>
      </c>
      <c r="O22" s="12">
        <f t="shared" si="8"/>
        <v>0</v>
      </c>
      <c r="Q22" s="10" t="str">
        <f>Draft_Helper!T6</f>
        <v>Gary Woodland</v>
      </c>
      <c r="R22" s="11" t="str">
        <f>IFERROR(IF(OR(VLOOKUP(Q22, Scores!$C$2:$D$459, 2, FALSE)="E", VLOOKUP(Q22, Scores!$C$2:$D$459, 2, FALSE)=""), 0, VLOOKUP(Q22, Scores!$C$2:$D$459, 2, FALSE)),0)</f>
        <v>-</v>
      </c>
      <c r="S22" s="12" t="e">
        <f t="shared" si="9"/>
        <v>#VALUE!</v>
      </c>
    </row>
    <row r="23" spans="1:19" x14ac:dyDescent="0.25">
      <c r="A23" s="10" t="str">
        <f>Draft_Helper!L7</f>
        <v>Nicolas Echavarria</v>
      </c>
      <c r="B23" s="11">
        <f>IFERROR(IF(OR(VLOOKUP(A23, Scores!$C$2:$D$459, 2, FALSE)="E", VLOOKUP(A23, Scores!$C$2:$D$459, 2, FALSE)=""), 0, VLOOKUP(A23, Scores!$C$2:$D$459, 2, FALSE)),0)</f>
        <v>0</v>
      </c>
      <c r="C23" s="12">
        <f t="shared" si="5"/>
        <v>0</v>
      </c>
      <c r="E23" s="10" t="str">
        <f>Draft_Helper!N7</f>
        <v>Wyndham Clark</v>
      </c>
      <c r="F23" s="11" t="str">
        <f>IFERROR(IF(OR(VLOOKUP(E23, Scores!$C$2:$D$459, 2, FALSE)="E", VLOOKUP(E23, Scores!$C$2:$D$459, 2, FALSE)=""), 0, VLOOKUP(E23, Scores!$C$2:$D$459, 2, FALSE)),0)</f>
        <v>-</v>
      </c>
      <c r="G23" s="12" t="e">
        <f t="shared" si="6"/>
        <v>#VALUE!</v>
      </c>
      <c r="I23" s="10" t="str">
        <f>Draft_Helper!P7</f>
        <v>Ryan Gerard</v>
      </c>
      <c r="J23" s="11" t="str">
        <f>IFERROR(IF(OR(VLOOKUP(I23, Scores!$C$2:$D$459, 2, FALSE)="E", VLOOKUP(I23, Scores!$C$2:$D$459, 2, FALSE)=""), 0, VLOOKUP(I23, Scores!$C$2:$D$459, 2, FALSE)),0)</f>
        <v>+1</v>
      </c>
      <c r="K23" s="12">
        <f t="shared" si="7"/>
        <v>1</v>
      </c>
      <c r="M23" s="10" t="str">
        <f>Draft_Helper!R7</f>
        <v>Brian Harman</v>
      </c>
      <c r="N23" s="11" t="str">
        <f>IFERROR(IF(OR(VLOOKUP(M23, Scores!$C$2:$D$459, 2, FALSE)="E", VLOOKUP(M23, Scores!$C$2:$D$459, 2, FALSE)=""), 0, VLOOKUP(M23, Scores!$C$2:$D$459, 2, FALSE)),0)</f>
        <v>-</v>
      </c>
      <c r="O23" s="12" t="e">
        <f t="shared" si="8"/>
        <v>#VALUE!</v>
      </c>
      <c r="Q23" s="10" t="str">
        <f>Draft_Helper!T7</f>
        <v>Samuel Stevens</v>
      </c>
      <c r="R23" s="11">
        <f>IFERROR(IF(OR(VLOOKUP(Q23, Scores!$C$2:$D$459, 2, FALSE)="E", VLOOKUP(Q23, Scores!$C$2:$D$459, 2, FALSE)=""), 0, VLOOKUP(Q23, Scores!$C$2:$D$459, 2, FALSE)),0)</f>
        <v>0</v>
      </c>
      <c r="S23" s="12">
        <f t="shared" si="9"/>
        <v>0</v>
      </c>
    </row>
    <row r="24" spans="1:19" x14ac:dyDescent="0.25">
      <c r="A24" s="10" t="str">
        <f>Draft_Helper!L8</f>
        <v>Andrew Novak</v>
      </c>
      <c r="B24" s="11" t="str">
        <f>IFERROR(IF(OR(VLOOKUP(A24, Scores!$C$2:$D$459, 2, FALSE)="E", VLOOKUP(A24, Scores!$C$2:$D$459, 2, FALSE)=""), 0, VLOOKUP(A24, Scores!$C$2:$D$459, 2, FALSE)),0)</f>
        <v>-</v>
      </c>
      <c r="C24" s="12" t="e">
        <f t="shared" si="5"/>
        <v>#VALUE!</v>
      </c>
      <c r="E24" s="10" t="str">
        <f>Draft_Helper!N8</f>
        <v>Michael Brennan</v>
      </c>
      <c r="F24" s="11" t="str">
        <f>IFERROR(IF(OR(VLOOKUP(E24, Scores!$C$2:$D$459, 2, FALSE)="E", VLOOKUP(E24, Scores!$C$2:$D$459, 2, FALSE)=""), 0, VLOOKUP(E24, Scores!$C$2:$D$459, 2, FALSE)),0)</f>
        <v>-</v>
      </c>
      <c r="G24" s="12" t="e">
        <f t="shared" si="6"/>
        <v>#VALUE!</v>
      </c>
      <c r="I24" s="10" t="str">
        <f>Draft_Helper!P8</f>
        <v>Carlos Ortiz</v>
      </c>
      <c r="J24" s="11" t="str">
        <f>IFERROR(IF(OR(VLOOKUP(I24, Scores!$C$2:$D$459, 2, FALSE)="E", VLOOKUP(I24, Scores!$C$2:$D$459, 2, FALSE)=""), 0, VLOOKUP(I24, Scores!$C$2:$D$459, 2, FALSE)),0)</f>
        <v>+7</v>
      </c>
      <c r="K24" s="12">
        <f t="shared" si="7"/>
        <v>7</v>
      </c>
      <c r="M24" s="10" t="str">
        <f>Draft_Helper!R8</f>
        <v>Zach Johnson</v>
      </c>
      <c r="N24" s="11" t="str">
        <f>IFERROR(IF(OR(VLOOKUP(M24, Scores!$C$2:$D$459, 2, FALSE)="E", VLOOKUP(M24, Scores!$C$2:$D$459, 2, FALSE)=""), 0, VLOOKUP(M24, Scores!$C$2:$D$459, 2, FALSE)),0)</f>
        <v>-</v>
      </c>
      <c r="O24" s="12" t="e">
        <f t="shared" si="8"/>
        <v>#VALUE!</v>
      </c>
      <c r="Q24" s="10" t="str">
        <f>Draft_Helper!T8</f>
        <v>Haotong Li</v>
      </c>
      <c r="R24" s="11" t="str">
        <f>IFERROR(IF(OR(VLOOKUP(Q24, Scores!$C$2:$D$459, 2, FALSE)="E", VLOOKUP(Q24, Scores!$C$2:$D$459, 2, FALSE)=""), 0, VLOOKUP(Q24, Scores!$C$2:$D$459, 2, FALSE)),0)</f>
        <v>+1</v>
      </c>
      <c r="S24" s="12">
        <f t="shared" si="9"/>
        <v>1</v>
      </c>
    </row>
    <row r="25" spans="1:19" x14ac:dyDescent="0.25">
      <c r="A25" s="10" t="str">
        <f>Draft_Helper!L9</f>
        <v>Sami Välimäki</v>
      </c>
      <c r="B25" s="11">
        <f>IFERROR(IF(OR(VLOOKUP(A25, Scores!$C$2:$D$459, 2, FALSE)="E", VLOOKUP(A25, Scores!$C$2:$D$459, 2, FALSE)=""), 0, VLOOKUP(A25, Scores!$C$2:$D$459, 2, FALSE)),0)</f>
        <v>0</v>
      </c>
      <c r="C25" s="12">
        <f t="shared" si="5"/>
        <v>0</v>
      </c>
      <c r="E25" s="10" t="str">
        <f>Draft_Helper!N9</f>
        <v>Charl Schwartzel</v>
      </c>
      <c r="F25" s="11" t="str">
        <f>IFERROR(IF(OR(VLOOKUP(E25, Scores!$C$2:$D$459, 2, FALSE)="E", VLOOKUP(E25, Scores!$C$2:$D$459, 2, FALSE)=""), 0, VLOOKUP(E25, Scores!$C$2:$D$459, 2, FALSE)),0)</f>
        <v>+1</v>
      </c>
      <c r="G25" s="12">
        <f t="shared" si="6"/>
        <v>1</v>
      </c>
      <c r="I25" s="10" t="str">
        <f>Draft_Helper!P9</f>
        <v>John Keefer</v>
      </c>
      <c r="J25" s="11">
        <f>IFERROR(IF(OR(VLOOKUP(I25, Scores!$C$2:$D$459, 2, FALSE)="E", VLOOKUP(I25, Scores!$C$2:$D$459, 2, FALSE)=""), 0, VLOOKUP(I25, Scores!$C$2:$D$459, 2, FALSE)),0)</f>
        <v>0</v>
      </c>
      <c r="K25" s="12">
        <f t="shared" si="7"/>
        <v>0</v>
      </c>
      <c r="M25" s="10" t="str">
        <f>Draft_Helper!R9</f>
        <v>Bubba Watson</v>
      </c>
      <c r="N25" s="11" t="str">
        <f>IFERROR(IF(OR(VLOOKUP(M25, Scores!$C$2:$D$459, 2, FALSE)="E", VLOOKUP(M25, Scores!$C$2:$D$459, 2, FALSE)=""), 0, VLOOKUP(M25, Scores!$C$2:$D$459, 2, FALSE)),0)</f>
        <v>+1</v>
      </c>
      <c r="O25" s="12">
        <f t="shared" si="8"/>
        <v>1</v>
      </c>
      <c r="Q25" s="10" t="str">
        <f>Draft_Helper!T9</f>
        <v>Tom McKibbin</v>
      </c>
      <c r="R25" s="11" t="str">
        <f>IFERROR(IF(OR(VLOOKUP(Q25, Scores!$C$2:$D$459, 2, FALSE)="E", VLOOKUP(Q25, Scores!$C$2:$D$459, 2, FALSE)=""), 0, VLOOKUP(Q25, Scores!$C$2:$D$459, 2, FALSE)),0)</f>
        <v>-</v>
      </c>
      <c r="S25" s="12" t="e">
        <f t="shared" si="9"/>
        <v>#VALUE!</v>
      </c>
    </row>
    <row r="26" spans="1:19" x14ac:dyDescent="0.25">
      <c r="A26" s="10" t="str">
        <f>Draft_Helper!L10</f>
        <v>José María Olazábal</v>
      </c>
      <c r="B26" s="11" t="str">
        <f>IFERROR(IF(OR(VLOOKUP(A26, Scores!$C$2:$D$459, 2, FALSE)="E", VLOOKUP(A26, Scores!$C$2:$D$459, 2, FALSE)=""), 0, VLOOKUP(A26, Scores!$C$2:$D$459, 2, FALSE)),0)</f>
        <v>-2</v>
      </c>
      <c r="C26" s="12">
        <f t="shared" si="5"/>
        <v>-2</v>
      </c>
      <c r="E26" s="10" t="str">
        <f>Draft_Helper!N10</f>
        <v>Mike Weir</v>
      </c>
      <c r="F26" s="11" t="str">
        <f>IFERROR(IF(OR(VLOOKUP(E26, Scores!$C$2:$D$459, 2, FALSE)="E", VLOOKUP(E26, Scores!$C$2:$D$459, 2, FALSE)=""), 0, VLOOKUP(E26, Scores!$C$2:$D$459, 2, FALSE)),0)</f>
        <v>-</v>
      </c>
      <c r="G26" s="12" t="e">
        <f t="shared" si="6"/>
        <v>#VALUE!</v>
      </c>
      <c r="I26" s="10" t="str">
        <f>Draft_Helper!P10</f>
        <v>Vijay Singh</v>
      </c>
      <c r="J26" s="11">
        <f>IFERROR(IF(OR(VLOOKUP(I26, Scores!$C$2:$D$459, 2, FALSE)="E", VLOOKUP(I26, Scores!$C$2:$D$459, 2, FALSE)=""), 0, VLOOKUP(I26, Scores!$C$2:$D$459, 2, FALSE)),0)</f>
        <v>0</v>
      </c>
      <c r="K26" s="12">
        <f t="shared" si="7"/>
        <v>0</v>
      </c>
      <c r="M26" s="10" t="str">
        <f>Draft_Helper!R10</f>
        <v>Ángel Cabrera</v>
      </c>
      <c r="N26" s="11" t="str">
        <f>IFERROR(IF(OR(VLOOKUP(M26, Scores!$C$2:$D$459, 2, FALSE)="E", VLOOKUP(M26, Scores!$C$2:$D$459, 2, FALSE)=""), 0, VLOOKUP(M26, Scores!$C$2:$D$459, 2, FALSE)),0)</f>
        <v>+1</v>
      </c>
      <c r="O26" s="12">
        <f t="shared" si="8"/>
        <v>1</v>
      </c>
      <c r="Q26" s="10" t="str">
        <f>Draft_Helper!T10</f>
        <v>Fred Couples</v>
      </c>
      <c r="R26" s="11" t="str">
        <f>IFERROR(IF(OR(VLOOKUP(Q26, Scores!$C$2:$D$459, 2, FALSE)="E", VLOOKUP(Q26, Scores!$C$2:$D$459, 2, FALSE)=""), 0, VLOOKUP(Q26, Scores!$C$2:$D$459, 2, FALSE)),0)</f>
        <v>-</v>
      </c>
      <c r="S26" s="12" t="e">
        <f t="shared" si="9"/>
        <v>#VALUE!</v>
      </c>
    </row>
    <row r="27" spans="1:19" x14ac:dyDescent="0.25">
      <c r="A27" s="10" t="str">
        <f>Draft_Helper!L11</f>
        <v/>
      </c>
      <c r="B27" s="11"/>
      <c r="C27" s="12" t="str">
        <f t="shared" si="5"/>
        <v/>
      </c>
      <c r="E27" s="10" t="str">
        <f>Draft_Helper!N11</f>
        <v/>
      </c>
      <c r="F27" s="11"/>
      <c r="G27" s="12" t="str">
        <f t="shared" si="6"/>
        <v/>
      </c>
      <c r="I27" s="10" t="str">
        <f>Draft_Helper!P11</f>
        <v/>
      </c>
      <c r="J27" s="11"/>
      <c r="K27" s="12" t="str">
        <f t="shared" si="7"/>
        <v/>
      </c>
      <c r="M27" s="10" t="str">
        <f>Draft_Helper!R11</f>
        <v/>
      </c>
      <c r="N27" s="11"/>
      <c r="O27" s="12" t="str">
        <f t="shared" si="8"/>
        <v/>
      </c>
      <c r="Q27" s="10" t="str">
        <f>Draft_Helper!T11</f>
        <v>Sergio Garcia</v>
      </c>
      <c r="R27" s="11">
        <f>IFERROR(IF(OR(VLOOKUP(Q27, Scores!$C$2:$D$459, 2, FALSE)="E", VLOOKUP(Q27, Scores!$C$2:$D$459, 2, FALSE)=""), 0, VLOOKUP(Q27, Scores!$C$2:$D$459, 2, FALSE)),0)</f>
        <v>0</v>
      </c>
      <c r="S27" s="12">
        <f t="shared" si="9"/>
        <v>0</v>
      </c>
    </row>
    <row r="28" spans="1:19" x14ac:dyDescent="0.25">
      <c r="A28" s="27" t="s">
        <v>208</v>
      </c>
      <c r="B28" s="28"/>
      <c r="C28" s="13">
        <f>IF(COUNT(C18:C27)=0,"",SUM(IFERROR(SMALL(C18:C27,1),0),IFERROR(SMALL(C18:C27,2),0),IFERROR(SMALL(C18:C27,3),0)))</f>
        <v>0</v>
      </c>
      <c r="E28" s="27" t="s">
        <v>208</v>
      </c>
      <c r="F28" s="28"/>
      <c r="G28" s="13">
        <f>IF(COUNT(G18:G27)=0,"",SUM(IFERROR(SMALL(G18:G27,1),0),IFERROR(SMALL(G18:G27,2),0),IFERROR(SMALL(G18:G27,3),0)))</f>
        <v>0</v>
      </c>
      <c r="I28" s="27" t="s">
        <v>208</v>
      </c>
      <c r="J28" s="28"/>
      <c r="K28" s="13">
        <f>IF(COUNT(K18:K27)=0,"",SUM(IFERROR(SMALL(K18:K27,1),0),IFERROR(SMALL(K18:K27,2),0),IFERROR(SMALL(K18:K27,3),0)))</f>
        <v>0</v>
      </c>
      <c r="M28" s="27" t="s">
        <v>208</v>
      </c>
      <c r="N28" s="28"/>
      <c r="O28" s="13">
        <f>IF(COUNT(O18:O27)=0,"",SUM(IFERROR(SMALL(O18:O27,1),0),IFERROR(SMALL(O18:O27,2),0),IFERROR(SMALL(O18:O27,3),0)))</f>
        <v>0</v>
      </c>
      <c r="Q28" s="27" t="s">
        <v>208</v>
      </c>
      <c r="R28" s="28"/>
      <c r="S28" s="13">
        <f>IF(COUNT(S18:S27)=0,"",SUM(IFERROR(SMALL(S18:S27,1),0),IFERROR(SMALL(S18:S27,2),0),IFERROR(SMALL(S18:S27,3),0)))</f>
        <v>0</v>
      </c>
    </row>
  </sheetData>
  <mergeCells count="20">
    <mergeCell ref="M16:O16"/>
    <mergeCell ref="I13:J13"/>
    <mergeCell ref="A13:B13"/>
    <mergeCell ref="I28:J28"/>
    <mergeCell ref="Q28:R28"/>
    <mergeCell ref="A1:C1"/>
    <mergeCell ref="M13:N13"/>
    <mergeCell ref="M1:O1"/>
    <mergeCell ref="I16:K16"/>
    <mergeCell ref="E1:G1"/>
    <mergeCell ref="A28:B28"/>
    <mergeCell ref="Q16:S16"/>
    <mergeCell ref="E13:F13"/>
    <mergeCell ref="E28:F28"/>
    <mergeCell ref="Q1:S1"/>
    <mergeCell ref="A16:C16"/>
    <mergeCell ref="M28:N28"/>
    <mergeCell ref="Q13:R13"/>
    <mergeCell ref="I1:K1"/>
    <mergeCell ref="E16:G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D16"/>
  <sheetViews>
    <sheetView showGridLines="0" workbookViewId="0">
      <selection activeCell="B2" sqref="B2"/>
    </sheetView>
  </sheetViews>
  <sheetFormatPr defaultRowHeight="15" x14ac:dyDescent="0.25"/>
  <cols>
    <col min="1" max="1" width="24" customWidth="1"/>
    <col min="2" max="3" width="14" customWidth="1"/>
    <col min="4" max="4" width="14" hidden="1" customWidth="1"/>
  </cols>
  <sheetData>
    <row r="1" spans="1:4" x14ac:dyDescent="0.25">
      <c r="A1" s="2" t="s">
        <v>20</v>
      </c>
      <c r="B1" s="2" t="s">
        <v>208</v>
      </c>
      <c r="C1" s="2" t="s">
        <v>24</v>
      </c>
      <c r="D1" s="2" t="s">
        <v>25</v>
      </c>
    </row>
    <row r="2" spans="1:4" x14ac:dyDescent="0.25">
      <c r="A2" s="14" t="str">
        <f>Team_Scoring!A1</f>
        <v>Ross</v>
      </c>
      <c r="B2" s="15">
        <f>Team_Scoring!C13</f>
        <v>0</v>
      </c>
      <c r="C2" s="14">
        <f>COUNT(Team_Scoring!C3:C12)</f>
        <v>1</v>
      </c>
      <c r="D2" s="14" t="str">
        <f>IF(COUNTA(Team_Scoring!A3:A12)&gt;0,"Yes","No")</f>
        <v>Yes</v>
      </c>
    </row>
    <row r="3" spans="1:4" x14ac:dyDescent="0.25">
      <c r="A3" s="14" t="str">
        <f>Team_Scoring!E1</f>
        <v>Melbye²</v>
      </c>
      <c r="B3" s="15">
        <f>Team_Scoring!G13</f>
        <v>0</v>
      </c>
      <c r="C3" s="14">
        <f>COUNT(Team_Scoring!G3:G12)</f>
        <v>5</v>
      </c>
      <c r="D3" s="14" t="str">
        <f>IF(COUNTA(Team_Scoring!E3:E12)&gt;0,"Yes","No")</f>
        <v>Yes</v>
      </c>
    </row>
    <row r="4" spans="1:4" x14ac:dyDescent="0.25">
      <c r="A4" s="14" t="str">
        <f>Team_Scoring!I1</f>
        <v>Bryan</v>
      </c>
      <c r="B4" s="15">
        <f>Team_Scoring!K13</f>
        <v>0</v>
      </c>
      <c r="C4" s="14">
        <f>COUNT(Team_Scoring!K3:K12)</f>
        <v>2</v>
      </c>
      <c r="D4" s="14" t="str">
        <f>IF(COUNTA(Team_Scoring!I3:I12)&gt;0,"Yes","No")</f>
        <v>Yes</v>
      </c>
    </row>
    <row r="5" spans="1:4" x14ac:dyDescent="0.25">
      <c r="A5" s="14" t="str">
        <f>Team_Scoring!M1</f>
        <v>Dan 'Full Swing' Clark</v>
      </c>
      <c r="B5" s="15">
        <f>Team_Scoring!O13</f>
        <v>0</v>
      </c>
      <c r="C5" s="14">
        <f>COUNT(Team_Scoring!O3:O12)</f>
        <v>3</v>
      </c>
      <c r="D5" s="14" t="str">
        <f>IF(COUNTA(Team_Scoring!M3:M12)&gt;0,"Yes","No")</f>
        <v>Yes</v>
      </c>
    </row>
    <row r="6" spans="1:4" x14ac:dyDescent="0.25">
      <c r="A6" s="14" t="str">
        <f>Team_Scoring!Q1</f>
        <v>Roth</v>
      </c>
      <c r="B6" s="15">
        <f>Team_Scoring!S13</f>
        <v>0</v>
      </c>
      <c r="C6" s="14">
        <f>COUNT(Team_Scoring!S3:S12)</f>
        <v>3</v>
      </c>
      <c r="D6" s="14" t="str">
        <f>IF(COUNTA(Team_Scoring!Q3:Q12)&gt;0,"Yes","No")</f>
        <v>Yes</v>
      </c>
    </row>
    <row r="7" spans="1:4" x14ac:dyDescent="0.25">
      <c r="A7" s="14" t="str">
        <f>Team_Scoring!A16</f>
        <v>Coulter</v>
      </c>
      <c r="B7" s="15">
        <f>Team_Scoring!C28</f>
        <v>0</v>
      </c>
      <c r="C7" s="14">
        <f>COUNT(Team_Scoring!C18:C27)</f>
        <v>3</v>
      </c>
      <c r="D7" s="14" t="str">
        <f>IF(COUNTA(Team_Scoring!A18:A27)&gt;0,"Yes","No")</f>
        <v>Yes</v>
      </c>
    </row>
    <row r="8" spans="1:4" x14ac:dyDescent="0.25">
      <c r="A8" s="14" t="str">
        <f>Team_Scoring!E16</f>
        <v>Klooster</v>
      </c>
      <c r="B8" s="15">
        <f>Team_Scoring!G28</f>
        <v>0</v>
      </c>
      <c r="C8" s="14">
        <f>COUNT(Team_Scoring!G18:G27)</f>
        <v>1</v>
      </c>
      <c r="D8" s="14" t="str">
        <f>IF(COUNTA(Team_Scoring!E18:E27)&gt;0,"Yes","No")</f>
        <v>Yes</v>
      </c>
    </row>
    <row r="9" spans="1:4" x14ac:dyDescent="0.25">
      <c r="A9" s="14" t="str">
        <f>Team_Scoring!I16</f>
        <v>Adam &amp; Kevin</v>
      </c>
      <c r="B9" s="15">
        <f>Team_Scoring!K28</f>
        <v>0</v>
      </c>
      <c r="C9" s="14">
        <f>COUNT(Team_Scoring!K18:K27)</f>
        <v>6</v>
      </c>
      <c r="D9" s="14" t="str">
        <f>IF(COUNTA(Team_Scoring!I18:I27)&gt;0,"Yes","No")</f>
        <v>Yes</v>
      </c>
    </row>
    <row r="10" spans="1:4" x14ac:dyDescent="0.25">
      <c r="A10" s="14" t="str">
        <f>Team_Scoring!M16</f>
        <v>Asshole Garrett</v>
      </c>
      <c r="B10" s="15">
        <f>Team_Scoring!O28</f>
        <v>0</v>
      </c>
      <c r="C10" s="14">
        <f>COUNT(Team_Scoring!O18:O27)</f>
        <v>4</v>
      </c>
      <c r="D10" s="14" t="str">
        <f>IF(COUNTA(Team_Scoring!M18:O27)&gt;0,"Yes","No")</f>
        <v>Yes</v>
      </c>
    </row>
    <row r="11" spans="1:4" x14ac:dyDescent="0.25">
      <c r="A11" s="14" t="str">
        <f>Team_Scoring!Q16</f>
        <v>Cool Tony</v>
      </c>
      <c r="B11" s="15">
        <f>Team_Scoring!S28</f>
        <v>0</v>
      </c>
      <c r="C11" s="14">
        <f>COUNT(Team_Scoring!S18:S27)</f>
        <v>3</v>
      </c>
      <c r="D11" s="14" t="str">
        <f>IF(COUNTA(Team_Scoring!Q18:Q27)&gt;0,"Yes","No")</f>
        <v>Yes</v>
      </c>
    </row>
    <row r="14" spans="1:4" ht="15.75" hidden="1" x14ac:dyDescent="0.25">
      <c r="A14" s="5" t="s">
        <v>26</v>
      </c>
    </row>
    <row r="15" spans="1:4" hidden="1" x14ac:dyDescent="0.25">
      <c r="A15" s="30" t="s">
        <v>27</v>
      </c>
      <c r="B15" s="28"/>
      <c r="C15" s="28"/>
      <c r="D15" s="28"/>
    </row>
    <row r="16" spans="1:4" hidden="1" x14ac:dyDescent="0.25">
      <c r="A16" s="28"/>
      <c r="B16" s="28"/>
      <c r="C16" s="28"/>
      <c r="D16" s="28"/>
    </row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7D61F-0122-4E05-BA42-04D7AD7A249D}">
  <dimension ref="A1:E24"/>
  <sheetViews>
    <sheetView workbookViewId="0">
      <selection activeCell="H10" sqref="H10"/>
    </sheetView>
  </sheetViews>
  <sheetFormatPr defaultRowHeight="15" x14ac:dyDescent="0.25"/>
  <cols>
    <col min="1" max="4" width="31" bestFit="1" customWidth="1"/>
    <col min="5" max="5" width="35.85546875" bestFit="1" customWidth="1"/>
  </cols>
  <sheetData>
    <row r="1" spans="1:5" ht="27" thickTop="1" x14ac:dyDescent="0.4">
      <c r="A1" s="17" t="s">
        <v>191</v>
      </c>
      <c r="B1" s="17" t="s">
        <v>201</v>
      </c>
      <c r="C1" s="17" t="s">
        <v>192</v>
      </c>
      <c r="D1" s="26" t="s">
        <v>193</v>
      </c>
      <c r="E1" s="17" t="s">
        <v>194</v>
      </c>
    </row>
    <row r="2" spans="1:5" ht="40.5" customHeight="1" thickBot="1" x14ac:dyDescent="0.5">
      <c r="A2" s="24" t="s">
        <v>42</v>
      </c>
      <c r="B2" s="25" t="s">
        <v>43</v>
      </c>
      <c r="C2" s="25" t="s">
        <v>44</v>
      </c>
      <c r="D2" s="25" t="s">
        <v>45</v>
      </c>
      <c r="E2" s="25" t="s">
        <v>46</v>
      </c>
    </row>
    <row r="3" spans="1:5" ht="15.75" thickTop="1" x14ac:dyDescent="0.25">
      <c r="A3" t="str" cm="1">
        <f t="array" ref="A3:A11">_xlfn._xlws.FILTER(Draft_Import!$E$2:$E$200,TRIM(Draft_Import!$D$2:$D$200)=TRIM($A$1),"")</f>
        <v>Scottie Scheffler</v>
      </c>
      <c r="B3" s="21" t="str" cm="1">
        <f t="array" ref="B3:B11">_xlfn._xlws.FILTER(Draft_Import!$E$2:$E$200,Draft_Import!$D$2:$D$200=$B$1,"")</f>
        <v>Bryson DeChambeau</v>
      </c>
      <c r="C3" s="21" t="str" cm="1">
        <f t="array" ref="C3:C11">_xlfn._xlws.FILTER(Draft_Import!$E$2:$E$200,Draft_Import!$D$2:$D$200=$C$1,"")</f>
        <v>Jon Rahm</v>
      </c>
      <c r="D3" s="21" t="str" cm="1">
        <f t="array" ref="D3:D11">_xlfn._xlws.FILTER(Draft_Import!$E$2:$E$200,Draft_Import!$D$2:$D$200=$D$1,"")</f>
        <v>Ludvig Åberg</v>
      </c>
      <c r="E3" s="21" t="str" cm="1">
        <f t="array" ref="E3:E11">_xlfn._xlws.FILTER(Draft_Import!$E$2:$E$200,TRIM(Draft_Import!$D$2:$D$200)=TRIM($E$1),"")</f>
        <v>Rory McIlroy</v>
      </c>
    </row>
    <row r="4" spans="1:5" x14ac:dyDescent="0.25">
      <c r="A4" s="19" t="str">
        <v>Akshay Bhatia</v>
      </c>
      <c r="B4" s="19" t="str">
        <v>Brooks Koepka</v>
      </c>
      <c r="C4" s="19" t="str">
        <v>Russell Henley</v>
      </c>
      <c r="D4" s="19" t="str">
        <v>Si Woo Kim</v>
      </c>
      <c r="E4" s="19" t="str">
        <v>Hideki Matsuyama</v>
      </c>
    </row>
    <row r="5" spans="1:5" x14ac:dyDescent="0.25">
      <c r="A5" s="19" t="str">
        <v>Chris Gotterup</v>
      </c>
      <c r="B5" s="19" t="str">
        <v>Jake Knapp</v>
      </c>
      <c r="C5" s="19" t="str">
        <v>Corey Conners</v>
      </c>
      <c r="D5" s="19" t="str">
        <v>Jacob Bridgeman</v>
      </c>
      <c r="E5" s="19" t="str">
        <v>J.J. Spaun</v>
      </c>
    </row>
    <row r="6" spans="1:5" x14ac:dyDescent="0.25">
      <c r="A6" s="19" t="str">
        <v>Patrick Cantlay</v>
      </c>
      <c r="B6" s="19" t="str">
        <v>Sam Burns</v>
      </c>
      <c r="C6" s="19" t="str">
        <v>Maverick McNealy</v>
      </c>
      <c r="D6" s="19" t="str">
        <v>Shane Lowry</v>
      </c>
      <c r="E6" s="19" t="str">
        <v>Ben Griffin</v>
      </c>
    </row>
    <row r="7" spans="1:5" x14ac:dyDescent="0.25">
      <c r="A7" s="19" t="str">
        <v>Harris English</v>
      </c>
      <c r="B7" s="19" t="str">
        <v>Daniel Berger</v>
      </c>
      <c r="C7" s="19" t="str">
        <v>Harry Hall</v>
      </c>
      <c r="D7" s="19" t="str">
        <v>Keegan Bradley</v>
      </c>
      <c r="E7" s="19" t="str">
        <v>Kurt Kitayama</v>
      </c>
    </row>
    <row r="8" spans="1:5" x14ac:dyDescent="0.25">
      <c r="A8" s="19" t="str">
        <v>Aaron Rai</v>
      </c>
      <c r="B8" s="19" t="str">
        <v>Aldrich Potgieter</v>
      </c>
      <c r="C8" s="19" t="str">
        <v>Nick Taylor</v>
      </c>
      <c r="D8" s="19" t="str">
        <v>Alex Noren</v>
      </c>
      <c r="E8" s="19" t="str">
        <v>Matt McCarty</v>
      </c>
    </row>
    <row r="9" spans="1:5" x14ac:dyDescent="0.25">
      <c r="A9" s="19" t="str">
        <v>Casey Jarvis</v>
      </c>
      <c r="B9" s="19" t="str">
        <v>Max Greyserman</v>
      </c>
      <c r="C9" s="19" t="str">
        <v>Michael Kim</v>
      </c>
      <c r="D9" s="19" t="str">
        <v>Rasmus Neergaard-Petersen</v>
      </c>
      <c r="E9" s="19" t="str">
        <v>Kristoffer Reitan</v>
      </c>
    </row>
    <row r="10" spans="1:5" x14ac:dyDescent="0.25">
      <c r="A10" s="19" t="str">
        <v>Fifa Laopakdee (a)</v>
      </c>
      <c r="B10" s="19" t="str">
        <v>Mason Howell (a)</v>
      </c>
      <c r="C10" s="19" t="str">
        <v>Danny Willett</v>
      </c>
      <c r="D10" s="19" t="str">
        <v>Davis Riley</v>
      </c>
      <c r="E10" s="19" t="str">
        <v>Brian Campbell</v>
      </c>
    </row>
    <row r="11" spans="1:5" x14ac:dyDescent="0.25">
      <c r="A11" s="19" t="str">
        <v>Ethan Fang (a)</v>
      </c>
      <c r="B11" s="19" t="str">
        <v>Jackson Herrington (a)</v>
      </c>
      <c r="C11" s="19" t="str">
        <v>Naoyuki Kataoka</v>
      </c>
      <c r="D11" s="19" t="str">
        <v>Brandon Holtz (a)</v>
      </c>
      <c r="E11" s="19" t="str">
        <v>Mateo Pulcini (a)</v>
      </c>
    </row>
    <row r="12" spans="1:5" ht="15.75" thickBot="1" x14ac:dyDescent="0.3">
      <c r="A12" s="20"/>
      <c r="B12" s="20"/>
      <c r="C12" s="20"/>
      <c r="D12" s="20"/>
      <c r="E12" s="20"/>
    </row>
    <row r="13" spans="1:5" ht="27" thickTop="1" x14ac:dyDescent="0.4">
      <c r="A13" s="17" t="s">
        <v>195</v>
      </c>
      <c r="B13" s="17" t="s">
        <v>196</v>
      </c>
      <c r="C13" s="17" t="s">
        <v>197</v>
      </c>
      <c r="D13" s="17" t="s">
        <v>198</v>
      </c>
      <c r="E13" s="17" t="s">
        <v>199</v>
      </c>
    </row>
    <row r="14" spans="1:5" ht="29.25" thickBot="1" x14ac:dyDescent="0.5">
      <c r="A14" s="25" t="s">
        <v>47</v>
      </c>
      <c r="B14" s="25" t="s">
        <v>48</v>
      </c>
      <c r="C14" s="25" t="s">
        <v>49</v>
      </c>
      <c r="D14" s="25" t="s">
        <v>50</v>
      </c>
      <c r="E14" s="25" t="s">
        <v>51</v>
      </c>
    </row>
    <row r="15" spans="1:5" ht="15.75" thickTop="1" x14ac:dyDescent="0.25">
      <c r="A15" s="18" t="str" cm="1">
        <f t="array" ref="A15:A23">_xlfn._xlws.FILTER(Draft_Import!$E$2:$E$200,TRIM(Draft_Import!$D$2:$D$200)=TRIM($A$13),"")</f>
        <v>Xander Schauffele</v>
      </c>
      <c r="B15" s="18" t="str" cm="1">
        <f t="array" ref="B15:B23">_xlfn._xlws.FILTER(Draft_Import!$E$2:$E$200,TRIM(Draft_Import!$D$2:$D$200)=TRIM($B$13),"")</f>
        <v>Justin Rose</v>
      </c>
      <c r="C15" s="18" t="str" cm="1">
        <f t="array" ref="C15:C23">_xlfn._xlws.FILTER(Draft_Import!$E$2:$E$200,TRIM(Draft_Import!$D$2:$D$200)=TRIM($C$13),"")</f>
        <v>Cameron Young</v>
      </c>
      <c r="D15" s="18" t="str" cm="1">
        <f t="array" ref="D15:D23">_xlfn._xlws.FILTER(Draft_Import!$E$2:$E$200,TRIM(Draft_Import!$D$2:$D$200)=TRIM($D$13),"")</f>
        <v>Collin Morikawa</v>
      </c>
      <c r="E15" s="18" t="str" cm="1">
        <f t="array" ref="E15:E24">_xlfn._xlws.FILTER(Draft_Import!$E$2:$E$200,TRIM(Draft_Import!$D$2:$D$200)=TRIM($E$13),"")</f>
        <v>Tommy Fleetwood</v>
      </c>
    </row>
    <row r="16" spans="1:5" x14ac:dyDescent="0.25">
      <c r="A16" s="19" t="str">
        <v>Jordan Spieth</v>
      </c>
      <c r="B16" s="19" t="str">
        <v>Robert MacIntyre</v>
      </c>
      <c r="C16" s="19" t="str">
        <v>Patrick Reed</v>
      </c>
      <c r="D16" s="19" t="str">
        <v>Min Woo Lee</v>
      </c>
      <c r="E16" s="19" t="str">
        <v>Matt Fitzpatrick</v>
      </c>
    </row>
    <row r="17" spans="1:5" x14ac:dyDescent="0.25">
      <c r="A17" s="19" t="str">
        <v>Justin Thomas</v>
      </c>
      <c r="B17" s="19" t="str">
        <v>Nicolai Højgaard</v>
      </c>
      <c r="C17" s="19" t="str">
        <v>Cameron Smith</v>
      </c>
      <c r="D17" s="19" t="str">
        <v>Max Homa</v>
      </c>
      <c r="E17" s="19" t="str">
        <v>Viktor Hovland</v>
      </c>
    </row>
    <row r="18" spans="1:5" x14ac:dyDescent="0.25">
      <c r="A18" s="19" t="str">
        <v>Tyrrell Hatton</v>
      </c>
      <c r="B18" s="19" t="str">
        <v>Adam Scott</v>
      </c>
      <c r="C18" s="19" t="str">
        <v>Sepp Straka</v>
      </c>
      <c r="D18" s="19" t="str">
        <v>Sungjae Im</v>
      </c>
      <c r="E18" s="19" t="str">
        <v>Jason Day</v>
      </c>
    </row>
    <row r="19" spans="1:5" x14ac:dyDescent="0.25">
      <c r="A19" s="19" t="str">
        <v>Dustin Johnson</v>
      </c>
      <c r="B19" s="19" t="str">
        <v>Marco Penge</v>
      </c>
      <c r="C19" s="19" t="str">
        <v>Ryan Fox</v>
      </c>
      <c r="D19" s="19" t="str">
        <v>Rasmus Højgaard</v>
      </c>
      <c r="E19" s="19" t="str">
        <v>Gary Woodland</v>
      </c>
    </row>
    <row r="20" spans="1:5" x14ac:dyDescent="0.25">
      <c r="A20" s="19" t="str">
        <v>Nicolas Echavarria</v>
      </c>
      <c r="B20" s="19" t="str">
        <v>Wyndham Clark</v>
      </c>
      <c r="C20" s="19" t="str">
        <v>Ryan Gerard</v>
      </c>
      <c r="D20" s="19" t="str">
        <v>Brian Harman</v>
      </c>
      <c r="E20" s="19" t="str">
        <v>Samuel Stevens</v>
      </c>
    </row>
    <row r="21" spans="1:5" x14ac:dyDescent="0.25">
      <c r="A21" s="19" t="str">
        <v>Andrew Novak</v>
      </c>
      <c r="B21" s="19" t="str">
        <v>Michael Brennan</v>
      </c>
      <c r="C21" s="19" t="str">
        <v>Carlos Ortiz</v>
      </c>
      <c r="D21" s="19" t="str">
        <v>Zach Johnson</v>
      </c>
      <c r="E21" s="19" t="str">
        <v>Haotong Li</v>
      </c>
    </row>
    <row r="22" spans="1:5" x14ac:dyDescent="0.25">
      <c r="A22" s="19" t="str">
        <v>Sami Välimäki</v>
      </c>
      <c r="B22" s="19" t="str">
        <v>Charl Schwartzel</v>
      </c>
      <c r="C22" s="19" t="str">
        <v>John Keefer</v>
      </c>
      <c r="D22" s="19" t="str">
        <v>Bubba Watson</v>
      </c>
      <c r="E22" s="19" t="str">
        <v>Tom McKibbin</v>
      </c>
    </row>
    <row r="23" spans="1:5" x14ac:dyDescent="0.25">
      <c r="A23" s="19" t="str">
        <v>José María Olazábal</v>
      </c>
      <c r="B23" s="19" t="str">
        <v>Mike Weir</v>
      </c>
      <c r="C23" s="19" t="str">
        <v>Vijay Singh</v>
      </c>
      <c r="D23" s="19" t="str">
        <v>Ángel Cabrera</v>
      </c>
      <c r="E23" s="19" t="str">
        <v>Fred Couples</v>
      </c>
    </row>
    <row r="24" spans="1:5" x14ac:dyDescent="0.25">
      <c r="A24" s="19"/>
      <c r="B24" s="19"/>
      <c r="C24" s="19"/>
      <c r="D24" s="19"/>
      <c r="E24" s="19" t="str">
        <v>Sergio Garcia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2F8AF-52F8-4F76-B2F8-1B9ADEE20BD0}">
  <dimension ref="A1:K92"/>
  <sheetViews>
    <sheetView workbookViewId="0">
      <selection activeCell="L2" sqref="L2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6.7109375" bestFit="1" customWidth="1"/>
    <col min="4" max="4" width="9" bestFit="1" customWidth="1"/>
    <col min="5" max="5" width="9.42578125" bestFit="1" customWidth="1"/>
    <col min="6" max="6" width="9" bestFit="1" customWidth="1"/>
    <col min="7" max="9" width="5.42578125" bestFit="1" customWidth="1"/>
    <col min="10" max="10" width="5.42578125" style="23" bestFit="1" customWidth="1"/>
    <col min="11" max="11" width="6.7109375" style="23" customWidth="1"/>
    <col min="12" max="12" width="12.5703125" bestFit="1" customWidth="1"/>
    <col min="13" max="13" width="12.28515625" bestFit="1" customWidth="1"/>
  </cols>
  <sheetData>
    <row r="1" spans="1:11" x14ac:dyDescent="0.25">
      <c r="A1" t="s">
        <v>54</v>
      </c>
      <c r="B1" t="s">
        <v>56</v>
      </c>
      <c r="C1" t="s">
        <v>57</v>
      </c>
      <c r="D1" t="s">
        <v>58</v>
      </c>
      <c r="E1" t="s">
        <v>151</v>
      </c>
      <c r="F1" t="s">
        <v>152</v>
      </c>
      <c r="G1" t="s">
        <v>59</v>
      </c>
      <c r="H1" t="s">
        <v>60</v>
      </c>
      <c r="I1" t="s">
        <v>61</v>
      </c>
      <c r="J1" t="s">
        <v>62</v>
      </c>
      <c r="K1" t="s">
        <v>78</v>
      </c>
    </row>
    <row r="2" spans="1:11" x14ac:dyDescent="0.25">
      <c r="A2" s="22" t="s">
        <v>55</v>
      </c>
      <c r="B2" s="22" t="s">
        <v>63</v>
      </c>
      <c r="C2" s="22" t="s">
        <v>139</v>
      </c>
      <c r="D2" s="22" t="s">
        <v>71</v>
      </c>
      <c r="E2" s="22" t="s">
        <v>71</v>
      </c>
      <c r="F2" s="22" t="s">
        <v>159</v>
      </c>
      <c r="G2" s="22" t="s">
        <v>75</v>
      </c>
      <c r="H2" s="22" t="s">
        <v>75</v>
      </c>
      <c r="I2" s="22" t="s">
        <v>75</v>
      </c>
      <c r="J2" s="22" t="s">
        <v>75</v>
      </c>
      <c r="K2" s="22" t="s">
        <v>202</v>
      </c>
    </row>
    <row r="3" spans="1:11" x14ac:dyDescent="0.25">
      <c r="A3" s="22" t="s">
        <v>55</v>
      </c>
      <c r="B3" s="22" t="s">
        <v>64</v>
      </c>
      <c r="C3" s="22" t="s">
        <v>108</v>
      </c>
      <c r="D3" s="22" t="s">
        <v>72</v>
      </c>
      <c r="E3" s="22" t="s">
        <v>72</v>
      </c>
      <c r="F3" s="22" t="s">
        <v>153</v>
      </c>
      <c r="G3" s="22" t="s">
        <v>75</v>
      </c>
      <c r="H3" s="22" t="s">
        <v>75</v>
      </c>
      <c r="I3" s="22" t="s">
        <v>75</v>
      </c>
      <c r="J3" s="22" t="s">
        <v>75</v>
      </c>
      <c r="K3" s="22" t="s">
        <v>164</v>
      </c>
    </row>
    <row r="4" spans="1:11" x14ac:dyDescent="0.25">
      <c r="A4" s="22" t="s">
        <v>55</v>
      </c>
      <c r="B4" s="22" t="s">
        <v>64</v>
      </c>
      <c r="C4" s="22" t="s">
        <v>131</v>
      </c>
      <c r="D4" s="22" t="s">
        <v>72</v>
      </c>
      <c r="E4" s="22" t="s">
        <v>72</v>
      </c>
      <c r="F4" s="22" t="s">
        <v>16</v>
      </c>
      <c r="G4" s="22" t="s">
        <v>75</v>
      </c>
      <c r="H4" s="22" t="s">
        <v>75</v>
      </c>
      <c r="I4" s="22" t="s">
        <v>75</v>
      </c>
      <c r="J4" s="22" t="s">
        <v>75</v>
      </c>
      <c r="K4" s="22" t="s">
        <v>155</v>
      </c>
    </row>
    <row r="5" spans="1:11" x14ac:dyDescent="0.25">
      <c r="A5" s="22" t="s">
        <v>55</v>
      </c>
      <c r="B5" s="22" t="s">
        <v>209</v>
      </c>
      <c r="C5" s="22" t="s">
        <v>68</v>
      </c>
      <c r="D5" s="22" t="s">
        <v>11</v>
      </c>
      <c r="E5" s="22" t="s">
        <v>11</v>
      </c>
      <c r="F5" s="22" t="s">
        <v>156</v>
      </c>
      <c r="G5" s="22" t="s">
        <v>75</v>
      </c>
      <c r="H5" s="22" t="s">
        <v>75</v>
      </c>
      <c r="I5" s="22" t="s">
        <v>75</v>
      </c>
      <c r="J5" s="22" t="s">
        <v>75</v>
      </c>
      <c r="K5" s="22" t="s">
        <v>157</v>
      </c>
    </row>
    <row r="6" spans="1:11" x14ac:dyDescent="0.25">
      <c r="A6" s="22" t="s">
        <v>55</v>
      </c>
      <c r="B6" s="22" t="s">
        <v>209</v>
      </c>
      <c r="C6" s="22" t="s">
        <v>141</v>
      </c>
      <c r="D6" s="22" t="s">
        <v>11</v>
      </c>
      <c r="E6" s="22" t="s">
        <v>11</v>
      </c>
      <c r="F6" s="22" t="s">
        <v>156</v>
      </c>
      <c r="G6" s="22" t="s">
        <v>75</v>
      </c>
      <c r="H6" s="22" t="s">
        <v>75</v>
      </c>
      <c r="I6" s="22" t="s">
        <v>75</v>
      </c>
      <c r="J6" s="22" t="s">
        <v>75</v>
      </c>
      <c r="K6" s="22" t="s">
        <v>157</v>
      </c>
    </row>
    <row r="7" spans="1:11" x14ac:dyDescent="0.25">
      <c r="A7" s="22" t="s">
        <v>55</v>
      </c>
      <c r="B7" s="22" t="s">
        <v>209</v>
      </c>
      <c r="C7" s="22" t="s">
        <v>122</v>
      </c>
      <c r="D7" s="22" t="s">
        <v>11</v>
      </c>
      <c r="E7" s="22" t="s">
        <v>11</v>
      </c>
      <c r="F7" s="22" t="s">
        <v>156</v>
      </c>
      <c r="G7" s="22" t="s">
        <v>75</v>
      </c>
      <c r="H7" s="22" t="s">
        <v>75</v>
      </c>
      <c r="I7" s="22" t="s">
        <v>75</v>
      </c>
      <c r="J7" s="22" t="s">
        <v>75</v>
      </c>
      <c r="K7" s="22" t="s">
        <v>157</v>
      </c>
    </row>
    <row r="8" spans="1:11" x14ac:dyDescent="0.25">
      <c r="A8" s="22" t="s">
        <v>55</v>
      </c>
      <c r="B8" s="22" t="s">
        <v>209</v>
      </c>
      <c r="C8" s="22" t="s">
        <v>134</v>
      </c>
      <c r="D8" s="22" t="s">
        <v>11</v>
      </c>
      <c r="E8" s="22" t="s">
        <v>11</v>
      </c>
      <c r="F8" s="22" t="s">
        <v>153</v>
      </c>
      <c r="G8" s="22" t="s">
        <v>75</v>
      </c>
      <c r="H8" s="22" t="s">
        <v>75</v>
      </c>
      <c r="I8" s="22" t="s">
        <v>75</v>
      </c>
      <c r="J8" s="22" t="s">
        <v>75</v>
      </c>
      <c r="K8" s="22" t="s">
        <v>188</v>
      </c>
    </row>
    <row r="9" spans="1:11" x14ac:dyDescent="0.25">
      <c r="A9" s="22" t="s">
        <v>55</v>
      </c>
      <c r="B9" s="22" t="s">
        <v>209</v>
      </c>
      <c r="C9" s="22" t="s">
        <v>142</v>
      </c>
      <c r="D9" s="22" t="s">
        <v>11</v>
      </c>
      <c r="E9" s="22" t="s">
        <v>11</v>
      </c>
      <c r="F9" s="22" t="s">
        <v>153</v>
      </c>
      <c r="G9" s="22" t="s">
        <v>75</v>
      </c>
      <c r="H9" s="22" t="s">
        <v>75</v>
      </c>
      <c r="I9" s="22" t="s">
        <v>75</v>
      </c>
      <c r="J9" s="22" t="s">
        <v>75</v>
      </c>
      <c r="K9" s="22" t="s">
        <v>188</v>
      </c>
    </row>
    <row r="10" spans="1:11" x14ac:dyDescent="0.25">
      <c r="A10" s="22" t="s">
        <v>55</v>
      </c>
      <c r="B10" s="22" t="s">
        <v>209</v>
      </c>
      <c r="C10" s="22" t="s">
        <v>41</v>
      </c>
      <c r="D10" s="22" t="s">
        <v>11</v>
      </c>
      <c r="E10" s="22" t="s">
        <v>11</v>
      </c>
      <c r="F10" s="22" t="s">
        <v>153</v>
      </c>
      <c r="G10" s="22" t="s">
        <v>75</v>
      </c>
      <c r="H10" s="22" t="s">
        <v>75</v>
      </c>
      <c r="I10" s="22" t="s">
        <v>75</v>
      </c>
      <c r="J10" s="22" t="s">
        <v>75</v>
      </c>
      <c r="K10" s="22" t="s">
        <v>188</v>
      </c>
    </row>
    <row r="11" spans="1:11" x14ac:dyDescent="0.25">
      <c r="A11" s="22" t="s">
        <v>55</v>
      </c>
      <c r="B11" s="22" t="s">
        <v>209</v>
      </c>
      <c r="C11" s="22" t="s">
        <v>143</v>
      </c>
      <c r="D11" s="22" t="s">
        <v>11</v>
      </c>
      <c r="E11" s="22" t="s">
        <v>11</v>
      </c>
      <c r="F11" s="22" t="s">
        <v>154</v>
      </c>
      <c r="G11" s="22" t="s">
        <v>75</v>
      </c>
      <c r="H11" s="22" t="s">
        <v>75</v>
      </c>
      <c r="I11" s="22" t="s">
        <v>75</v>
      </c>
      <c r="J11" s="22" t="s">
        <v>75</v>
      </c>
      <c r="K11" s="22" t="s">
        <v>158</v>
      </c>
    </row>
    <row r="12" spans="1:11" x14ac:dyDescent="0.25">
      <c r="A12" s="22" t="s">
        <v>55</v>
      </c>
      <c r="B12" s="22" t="s">
        <v>209</v>
      </c>
      <c r="C12" s="22" t="s">
        <v>98</v>
      </c>
      <c r="D12" s="22" t="s">
        <v>11</v>
      </c>
      <c r="E12" s="22" t="s">
        <v>11</v>
      </c>
      <c r="F12" s="22" t="s">
        <v>63</v>
      </c>
      <c r="G12" s="22" t="s">
        <v>75</v>
      </c>
      <c r="H12" s="22" t="s">
        <v>75</v>
      </c>
      <c r="I12" s="22" t="s">
        <v>75</v>
      </c>
      <c r="J12" s="22" t="s">
        <v>75</v>
      </c>
      <c r="K12" s="22" t="s">
        <v>153</v>
      </c>
    </row>
    <row r="13" spans="1:11" x14ac:dyDescent="0.25">
      <c r="A13" s="22" t="s">
        <v>55</v>
      </c>
      <c r="B13" s="22" t="s">
        <v>209</v>
      </c>
      <c r="C13" s="22" t="s">
        <v>95</v>
      </c>
      <c r="D13" s="22" t="s">
        <v>11</v>
      </c>
      <c r="E13" s="22" t="s">
        <v>11</v>
      </c>
      <c r="F13" s="22" t="s">
        <v>63</v>
      </c>
      <c r="G13" s="22" t="s">
        <v>75</v>
      </c>
      <c r="H13" s="22" t="s">
        <v>75</v>
      </c>
      <c r="I13" s="22" t="s">
        <v>75</v>
      </c>
      <c r="J13" s="22" t="s">
        <v>75</v>
      </c>
      <c r="K13" s="22" t="s">
        <v>153</v>
      </c>
    </row>
    <row r="14" spans="1:11" x14ac:dyDescent="0.25">
      <c r="A14" s="22" t="s">
        <v>55</v>
      </c>
      <c r="B14" s="22" t="s">
        <v>209</v>
      </c>
      <c r="C14" s="22" t="s">
        <v>37</v>
      </c>
      <c r="D14" s="22" t="s">
        <v>11</v>
      </c>
      <c r="E14" s="22" t="s">
        <v>11</v>
      </c>
      <c r="F14" s="22" t="s">
        <v>63</v>
      </c>
      <c r="G14" s="22" t="s">
        <v>75</v>
      </c>
      <c r="H14" s="22" t="s">
        <v>75</v>
      </c>
      <c r="I14" s="22" t="s">
        <v>75</v>
      </c>
      <c r="J14" s="22" t="s">
        <v>75</v>
      </c>
      <c r="K14" s="22" t="s">
        <v>153</v>
      </c>
    </row>
    <row r="15" spans="1:11" x14ac:dyDescent="0.25">
      <c r="A15" s="22" t="s">
        <v>55</v>
      </c>
      <c r="B15" s="22" t="s">
        <v>210</v>
      </c>
      <c r="C15" s="22" t="s">
        <v>76</v>
      </c>
      <c r="D15" s="22" t="s">
        <v>73</v>
      </c>
      <c r="E15" s="22" t="s">
        <v>73</v>
      </c>
      <c r="F15" s="22" t="s">
        <v>203</v>
      </c>
      <c r="G15" s="22" t="s">
        <v>75</v>
      </c>
      <c r="H15" s="22" t="s">
        <v>75</v>
      </c>
      <c r="I15" s="22" t="s">
        <v>75</v>
      </c>
      <c r="J15" s="22" t="s">
        <v>75</v>
      </c>
      <c r="K15" s="22" t="s">
        <v>204</v>
      </c>
    </row>
    <row r="16" spans="1:11" x14ac:dyDescent="0.25">
      <c r="A16" s="22" t="s">
        <v>55</v>
      </c>
      <c r="B16" s="22" t="s">
        <v>210</v>
      </c>
      <c r="C16" s="22" t="s">
        <v>38</v>
      </c>
      <c r="D16" s="22" t="s">
        <v>73</v>
      </c>
      <c r="E16" s="22" t="s">
        <v>73</v>
      </c>
      <c r="F16" s="22" t="s">
        <v>65</v>
      </c>
      <c r="G16" s="22" t="s">
        <v>75</v>
      </c>
      <c r="H16" s="22" t="s">
        <v>75</v>
      </c>
      <c r="I16" s="22" t="s">
        <v>75</v>
      </c>
      <c r="J16" s="22" t="s">
        <v>75</v>
      </c>
      <c r="K16" s="22" t="s">
        <v>211</v>
      </c>
    </row>
    <row r="17" spans="1:11" x14ac:dyDescent="0.25">
      <c r="A17" s="22" t="s">
        <v>55</v>
      </c>
      <c r="B17" s="22" t="s">
        <v>210</v>
      </c>
      <c r="C17" s="22" t="s">
        <v>126</v>
      </c>
      <c r="D17" s="22" t="s">
        <v>73</v>
      </c>
      <c r="E17" s="22" t="s">
        <v>73</v>
      </c>
      <c r="F17" s="22" t="s">
        <v>159</v>
      </c>
      <c r="G17" s="22" t="s">
        <v>75</v>
      </c>
      <c r="H17" s="22" t="s">
        <v>75</v>
      </c>
      <c r="I17" s="22" t="s">
        <v>75</v>
      </c>
      <c r="J17" s="22" t="s">
        <v>75</v>
      </c>
      <c r="K17" s="22" t="s">
        <v>160</v>
      </c>
    </row>
    <row r="18" spans="1:11" x14ac:dyDescent="0.25">
      <c r="A18" s="22" t="s">
        <v>55</v>
      </c>
      <c r="B18" s="22" t="s">
        <v>210</v>
      </c>
      <c r="C18" s="22" t="s">
        <v>140</v>
      </c>
      <c r="D18" s="22" t="s">
        <v>73</v>
      </c>
      <c r="E18" s="22" t="s">
        <v>73</v>
      </c>
      <c r="F18" s="22" t="s">
        <v>156</v>
      </c>
      <c r="G18" s="22" t="s">
        <v>75</v>
      </c>
      <c r="H18" s="22" t="s">
        <v>75</v>
      </c>
      <c r="I18" s="22" t="s">
        <v>75</v>
      </c>
      <c r="J18" s="22" t="s">
        <v>75</v>
      </c>
      <c r="K18" s="22" t="s">
        <v>202</v>
      </c>
    </row>
    <row r="19" spans="1:11" x14ac:dyDescent="0.25">
      <c r="A19" s="22" t="s">
        <v>55</v>
      </c>
      <c r="B19" s="22" t="s">
        <v>210</v>
      </c>
      <c r="C19" s="22" t="s">
        <v>135</v>
      </c>
      <c r="D19" s="22" t="s">
        <v>73</v>
      </c>
      <c r="E19" s="22" t="s">
        <v>73</v>
      </c>
      <c r="F19" s="22" t="s">
        <v>156</v>
      </c>
      <c r="G19" s="22" t="s">
        <v>75</v>
      </c>
      <c r="H19" s="22" t="s">
        <v>75</v>
      </c>
      <c r="I19" s="22" t="s">
        <v>75</v>
      </c>
      <c r="J19" s="22" t="s">
        <v>75</v>
      </c>
      <c r="K19" s="22" t="s">
        <v>202</v>
      </c>
    </row>
    <row r="20" spans="1:11" x14ac:dyDescent="0.25">
      <c r="A20" s="22" t="s">
        <v>55</v>
      </c>
      <c r="B20" s="22" t="s">
        <v>210</v>
      </c>
      <c r="C20" s="22" t="s">
        <v>66</v>
      </c>
      <c r="D20" s="22" t="s">
        <v>73</v>
      </c>
      <c r="E20" s="22" t="s">
        <v>73</v>
      </c>
      <c r="F20" s="22" t="s">
        <v>153</v>
      </c>
      <c r="G20" s="22" t="s">
        <v>75</v>
      </c>
      <c r="H20" s="22" t="s">
        <v>75</v>
      </c>
      <c r="I20" s="22" t="s">
        <v>75</v>
      </c>
      <c r="J20" s="22" t="s">
        <v>75</v>
      </c>
      <c r="K20" s="22" t="s">
        <v>161</v>
      </c>
    </row>
    <row r="21" spans="1:11" x14ac:dyDescent="0.25">
      <c r="A21" s="22" t="s">
        <v>55</v>
      </c>
      <c r="B21" s="22" t="s">
        <v>210</v>
      </c>
      <c r="C21" s="22" t="s">
        <v>144</v>
      </c>
      <c r="D21" s="22" t="s">
        <v>73</v>
      </c>
      <c r="E21" s="22" t="s">
        <v>73</v>
      </c>
      <c r="F21" s="22" t="s">
        <v>16</v>
      </c>
      <c r="G21" s="22" t="s">
        <v>75</v>
      </c>
      <c r="H21" s="22" t="s">
        <v>75</v>
      </c>
      <c r="I21" s="22" t="s">
        <v>75</v>
      </c>
      <c r="J21" s="22" t="s">
        <v>75</v>
      </c>
      <c r="K21" s="22" t="s">
        <v>212</v>
      </c>
    </row>
    <row r="22" spans="1:11" x14ac:dyDescent="0.25">
      <c r="A22" s="22" t="s">
        <v>55</v>
      </c>
      <c r="B22" s="22" t="s">
        <v>210</v>
      </c>
      <c r="C22" s="22" t="s">
        <v>124</v>
      </c>
      <c r="D22" s="22" t="s">
        <v>73</v>
      </c>
      <c r="E22" s="22" t="s">
        <v>73</v>
      </c>
      <c r="F22" s="22" t="s">
        <v>154</v>
      </c>
      <c r="G22" s="22" t="s">
        <v>75</v>
      </c>
      <c r="H22" s="22" t="s">
        <v>75</v>
      </c>
      <c r="I22" s="22" t="s">
        <v>75</v>
      </c>
      <c r="J22" s="22" t="s">
        <v>75</v>
      </c>
      <c r="K22" s="22" t="s">
        <v>162</v>
      </c>
    </row>
    <row r="23" spans="1:11" x14ac:dyDescent="0.25">
      <c r="A23" s="22" t="s">
        <v>55</v>
      </c>
      <c r="B23" s="22" t="s">
        <v>210</v>
      </c>
      <c r="C23" s="22" t="s">
        <v>100</v>
      </c>
      <c r="D23" s="22" t="s">
        <v>73</v>
      </c>
      <c r="E23" s="22" t="s">
        <v>73</v>
      </c>
      <c r="F23" s="22" t="s">
        <v>63</v>
      </c>
      <c r="G23" s="22" t="s">
        <v>75</v>
      </c>
      <c r="H23" s="22" t="s">
        <v>75</v>
      </c>
      <c r="I23" s="22" t="s">
        <v>75</v>
      </c>
      <c r="J23" s="22" t="s">
        <v>75</v>
      </c>
      <c r="K23" s="22" t="s">
        <v>156</v>
      </c>
    </row>
    <row r="24" spans="1:11" x14ac:dyDescent="0.25">
      <c r="A24" s="22" t="s">
        <v>55</v>
      </c>
      <c r="B24" s="22" t="s">
        <v>210</v>
      </c>
      <c r="C24" s="22" t="s">
        <v>107</v>
      </c>
      <c r="D24" s="22" t="s">
        <v>73</v>
      </c>
      <c r="E24" s="22" t="s">
        <v>73</v>
      </c>
      <c r="F24" s="22" t="s">
        <v>63</v>
      </c>
      <c r="G24" s="22" t="s">
        <v>75</v>
      </c>
      <c r="H24" s="22" t="s">
        <v>75</v>
      </c>
      <c r="I24" s="22" t="s">
        <v>75</v>
      </c>
      <c r="J24" s="22" t="s">
        <v>75</v>
      </c>
      <c r="K24" s="22" t="s">
        <v>156</v>
      </c>
    </row>
    <row r="25" spans="1:11" x14ac:dyDescent="0.25">
      <c r="A25" s="22" t="s">
        <v>55</v>
      </c>
      <c r="B25" s="22" t="s">
        <v>210</v>
      </c>
      <c r="C25" s="22" t="s">
        <v>119</v>
      </c>
      <c r="D25" s="22" t="s">
        <v>73</v>
      </c>
      <c r="E25" s="22" t="s">
        <v>73</v>
      </c>
      <c r="F25" s="22" t="s">
        <v>63</v>
      </c>
      <c r="G25" s="22" t="s">
        <v>75</v>
      </c>
      <c r="H25" s="22" t="s">
        <v>75</v>
      </c>
      <c r="I25" s="22" t="s">
        <v>75</v>
      </c>
      <c r="J25" s="22" t="s">
        <v>75</v>
      </c>
      <c r="K25" s="22" t="s">
        <v>156</v>
      </c>
    </row>
    <row r="26" spans="1:11" x14ac:dyDescent="0.25">
      <c r="A26" s="22" t="s">
        <v>55</v>
      </c>
      <c r="B26" s="22" t="s">
        <v>163</v>
      </c>
      <c r="C26" s="22" t="s">
        <v>77</v>
      </c>
      <c r="D26" s="22" t="s">
        <v>74</v>
      </c>
      <c r="E26" s="22" t="s">
        <v>74</v>
      </c>
      <c r="F26" s="22" t="s">
        <v>203</v>
      </c>
      <c r="G26" s="22" t="s">
        <v>75</v>
      </c>
      <c r="H26" s="22" t="s">
        <v>75</v>
      </c>
      <c r="I26" s="22" t="s">
        <v>75</v>
      </c>
      <c r="J26" s="22" t="s">
        <v>75</v>
      </c>
      <c r="K26" s="22" t="s">
        <v>205</v>
      </c>
    </row>
    <row r="27" spans="1:11" x14ac:dyDescent="0.25">
      <c r="A27" s="22" t="s">
        <v>55</v>
      </c>
      <c r="B27" s="22" t="s">
        <v>213</v>
      </c>
      <c r="C27" s="22" t="s">
        <v>138</v>
      </c>
      <c r="D27" s="22" t="s">
        <v>15</v>
      </c>
      <c r="E27" s="22" t="s">
        <v>15</v>
      </c>
      <c r="F27" s="22" t="s">
        <v>65</v>
      </c>
      <c r="G27" s="22" t="s">
        <v>75</v>
      </c>
      <c r="H27" s="22" t="s">
        <v>75</v>
      </c>
      <c r="I27" s="22" t="s">
        <v>75</v>
      </c>
      <c r="J27" s="22" t="s">
        <v>75</v>
      </c>
      <c r="K27" s="22" t="s">
        <v>206</v>
      </c>
    </row>
    <row r="28" spans="1:11" x14ac:dyDescent="0.25">
      <c r="A28" s="22" t="s">
        <v>55</v>
      </c>
      <c r="B28" s="22" t="s">
        <v>213</v>
      </c>
      <c r="C28" s="22" t="s">
        <v>112</v>
      </c>
      <c r="D28" s="22" t="s">
        <v>15</v>
      </c>
      <c r="E28" s="22" t="s">
        <v>15</v>
      </c>
      <c r="F28" s="22" t="s">
        <v>156</v>
      </c>
      <c r="G28" s="22" t="s">
        <v>75</v>
      </c>
      <c r="H28" s="22" t="s">
        <v>75</v>
      </c>
      <c r="I28" s="22" t="s">
        <v>75</v>
      </c>
      <c r="J28" s="22" t="s">
        <v>75</v>
      </c>
      <c r="K28" s="22" t="s">
        <v>189</v>
      </c>
    </row>
    <row r="29" spans="1:11" x14ac:dyDescent="0.25">
      <c r="A29" s="22" t="s">
        <v>55</v>
      </c>
      <c r="B29" s="22" t="s">
        <v>211</v>
      </c>
      <c r="C29" s="22" t="s">
        <v>114</v>
      </c>
      <c r="D29" s="22" t="s">
        <v>207</v>
      </c>
      <c r="E29" s="22" t="s">
        <v>207</v>
      </c>
      <c r="F29" s="22" t="s">
        <v>159</v>
      </c>
      <c r="G29" s="22" t="s">
        <v>75</v>
      </c>
      <c r="H29" s="22" t="s">
        <v>75</v>
      </c>
      <c r="I29" s="22" t="s">
        <v>75</v>
      </c>
      <c r="J29" s="22" t="s">
        <v>75</v>
      </c>
      <c r="K29" s="22" t="s">
        <v>166</v>
      </c>
    </row>
    <row r="30" spans="1:11" x14ac:dyDescent="0.25">
      <c r="A30" s="22" t="s">
        <v>55</v>
      </c>
      <c r="B30" s="22" t="s">
        <v>214</v>
      </c>
      <c r="C30" s="22" t="s">
        <v>127</v>
      </c>
      <c r="D30" s="22" t="s">
        <v>165</v>
      </c>
      <c r="E30" s="22" t="s">
        <v>165</v>
      </c>
      <c r="F30" s="22" t="s">
        <v>65</v>
      </c>
      <c r="G30" s="22" t="s">
        <v>75</v>
      </c>
      <c r="H30" s="22" t="s">
        <v>75</v>
      </c>
      <c r="I30" s="22" t="s">
        <v>75</v>
      </c>
      <c r="J30" s="22" t="s">
        <v>75</v>
      </c>
      <c r="K30" s="22" t="s">
        <v>205</v>
      </c>
    </row>
    <row r="31" spans="1:11" x14ac:dyDescent="0.25">
      <c r="A31" s="22" t="s">
        <v>55</v>
      </c>
      <c r="B31" s="22" t="s">
        <v>53</v>
      </c>
      <c r="C31" s="22" t="s">
        <v>96</v>
      </c>
      <c r="D31" s="22" t="s">
        <v>53</v>
      </c>
      <c r="E31" s="22" t="s">
        <v>53</v>
      </c>
      <c r="F31" s="22" t="s">
        <v>167</v>
      </c>
      <c r="G31" s="22" t="s">
        <v>75</v>
      </c>
      <c r="H31" s="22" t="s">
        <v>75</v>
      </c>
      <c r="I31" s="22" t="s">
        <v>75</v>
      </c>
      <c r="J31" s="22" t="s">
        <v>75</v>
      </c>
      <c r="K31" s="22" t="s">
        <v>75</v>
      </c>
    </row>
    <row r="32" spans="1:11" x14ac:dyDescent="0.25">
      <c r="A32" s="22" t="s">
        <v>55</v>
      </c>
      <c r="B32" s="22" t="s">
        <v>53</v>
      </c>
      <c r="C32" s="22" t="s">
        <v>117</v>
      </c>
      <c r="D32" s="22" t="s">
        <v>53</v>
      </c>
      <c r="E32" s="22" t="s">
        <v>53</v>
      </c>
      <c r="F32" s="22" t="s">
        <v>167</v>
      </c>
      <c r="G32" s="22" t="s">
        <v>75</v>
      </c>
      <c r="H32" s="22" t="s">
        <v>75</v>
      </c>
      <c r="I32" s="22" t="s">
        <v>75</v>
      </c>
      <c r="J32" s="22" t="s">
        <v>75</v>
      </c>
      <c r="K32" s="22" t="s">
        <v>75</v>
      </c>
    </row>
    <row r="33" spans="1:11" x14ac:dyDescent="0.25">
      <c r="A33" s="22" t="s">
        <v>55</v>
      </c>
      <c r="B33" s="22" t="s">
        <v>53</v>
      </c>
      <c r="C33" s="22" t="s">
        <v>106</v>
      </c>
      <c r="D33" s="22" t="s">
        <v>53</v>
      </c>
      <c r="E33" s="22" t="s">
        <v>53</v>
      </c>
      <c r="F33" s="22" t="s">
        <v>167</v>
      </c>
      <c r="G33" s="22" t="s">
        <v>75</v>
      </c>
      <c r="H33" s="22" t="s">
        <v>75</v>
      </c>
      <c r="I33" s="22" t="s">
        <v>75</v>
      </c>
      <c r="J33" s="22" t="s">
        <v>75</v>
      </c>
      <c r="K33" s="22" t="s">
        <v>75</v>
      </c>
    </row>
    <row r="34" spans="1:11" x14ac:dyDescent="0.25">
      <c r="A34" s="22" t="s">
        <v>55</v>
      </c>
      <c r="B34" s="22" t="s">
        <v>53</v>
      </c>
      <c r="C34" s="22" t="s">
        <v>29</v>
      </c>
      <c r="D34" s="22" t="s">
        <v>53</v>
      </c>
      <c r="E34" s="22" t="s">
        <v>53</v>
      </c>
      <c r="F34" s="22" t="s">
        <v>168</v>
      </c>
      <c r="G34" s="22" t="s">
        <v>75</v>
      </c>
      <c r="H34" s="22" t="s">
        <v>75</v>
      </c>
      <c r="I34" s="22" t="s">
        <v>75</v>
      </c>
      <c r="J34" s="22" t="s">
        <v>75</v>
      </c>
      <c r="K34" s="22" t="s">
        <v>75</v>
      </c>
    </row>
    <row r="35" spans="1:11" x14ac:dyDescent="0.25">
      <c r="A35" s="22" t="s">
        <v>55</v>
      </c>
      <c r="B35" s="22" t="s">
        <v>53</v>
      </c>
      <c r="C35" s="22" t="s">
        <v>87</v>
      </c>
      <c r="D35" s="22" t="s">
        <v>53</v>
      </c>
      <c r="E35" s="22" t="s">
        <v>53</v>
      </c>
      <c r="F35" s="22" t="s">
        <v>168</v>
      </c>
      <c r="G35" s="22" t="s">
        <v>75</v>
      </c>
      <c r="H35" s="22" t="s">
        <v>75</v>
      </c>
      <c r="I35" s="22" t="s">
        <v>75</v>
      </c>
      <c r="J35" s="22" t="s">
        <v>75</v>
      </c>
      <c r="K35" s="22" t="s">
        <v>75</v>
      </c>
    </row>
    <row r="36" spans="1:11" x14ac:dyDescent="0.25">
      <c r="A36" s="22" t="s">
        <v>55</v>
      </c>
      <c r="B36" s="22" t="s">
        <v>53</v>
      </c>
      <c r="C36" s="22" t="s">
        <v>90</v>
      </c>
      <c r="D36" s="22" t="s">
        <v>53</v>
      </c>
      <c r="E36" s="22" t="s">
        <v>53</v>
      </c>
      <c r="F36" s="22" t="s">
        <v>168</v>
      </c>
      <c r="G36" s="22" t="s">
        <v>75</v>
      </c>
      <c r="H36" s="22" t="s">
        <v>75</v>
      </c>
      <c r="I36" s="22" t="s">
        <v>75</v>
      </c>
      <c r="J36" s="22" t="s">
        <v>75</v>
      </c>
      <c r="K36" s="22" t="s">
        <v>75</v>
      </c>
    </row>
    <row r="37" spans="1:11" x14ac:dyDescent="0.25">
      <c r="A37" s="22" t="s">
        <v>55</v>
      </c>
      <c r="B37" s="22" t="s">
        <v>53</v>
      </c>
      <c r="C37" s="22" t="s">
        <v>85</v>
      </c>
      <c r="D37" s="22" t="s">
        <v>53</v>
      </c>
      <c r="E37" s="22" t="s">
        <v>53</v>
      </c>
      <c r="F37" s="22" t="s">
        <v>169</v>
      </c>
      <c r="G37" s="22" t="s">
        <v>75</v>
      </c>
      <c r="H37" s="22" t="s">
        <v>75</v>
      </c>
      <c r="I37" s="22" t="s">
        <v>75</v>
      </c>
      <c r="J37" s="22" t="s">
        <v>75</v>
      </c>
      <c r="K37" s="22" t="s">
        <v>75</v>
      </c>
    </row>
    <row r="38" spans="1:11" x14ac:dyDescent="0.25">
      <c r="A38" s="22" t="s">
        <v>55</v>
      </c>
      <c r="B38" s="22" t="s">
        <v>53</v>
      </c>
      <c r="C38" s="22" t="s">
        <v>81</v>
      </c>
      <c r="D38" s="22" t="s">
        <v>53</v>
      </c>
      <c r="E38" s="22" t="s">
        <v>53</v>
      </c>
      <c r="F38" s="22" t="s">
        <v>169</v>
      </c>
      <c r="G38" s="22" t="s">
        <v>75</v>
      </c>
      <c r="H38" s="22" t="s">
        <v>75</v>
      </c>
      <c r="I38" s="22" t="s">
        <v>75</v>
      </c>
      <c r="J38" s="22" t="s">
        <v>75</v>
      </c>
      <c r="K38" s="22" t="s">
        <v>75</v>
      </c>
    </row>
    <row r="39" spans="1:11" x14ac:dyDescent="0.25">
      <c r="A39" s="22" t="s">
        <v>55</v>
      </c>
      <c r="B39" s="22" t="s">
        <v>53</v>
      </c>
      <c r="C39" s="22" t="s">
        <v>82</v>
      </c>
      <c r="D39" s="22" t="s">
        <v>53</v>
      </c>
      <c r="E39" s="22" t="s">
        <v>53</v>
      </c>
      <c r="F39" s="22" t="s">
        <v>169</v>
      </c>
      <c r="G39" s="22" t="s">
        <v>75</v>
      </c>
      <c r="H39" s="22" t="s">
        <v>75</v>
      </c>
      <c r="I39" s="22" t="s">
        <v>75</v>
      </c>
      <c r="J39" s="22" t="s">
        <v>75</v>
      </c>
      <c r="K39" s="22" t="s">
        <v>75</v>
      </c>
    </row>
    <row r="40" spans="1:11" x14ac:dyDescent="0.25">
      <c r="A40" s="22" t="s">
        <v>55</v>
      </c>
      <c r="B40" s="22" t="s">
        <v>53</v>
      </c>
      <c r="C40" s="22" t="s">
        <v>32</v>
      </c>
      <c r="D40" s="22" t="s">
        <v>53</v>
      </c>
      <c r="E40" s="22" t="s">
        <v>53</v>
      </c>
      <c r="F40" s="22" t="s">
        <v>170</v>
      </c>
      <c r="G40" s="22" t="s">
        <v>75</v>
      </c>
      <c r="H40" s="22" t="s">
        <v>75</v>
      </c>
      <c r="I40" s="22" t="s">
        <v>75</v>
      </c>
      <c r="J40" s="22" t="s">
        <v>75</v>
      </c>
      <c r="K40" s="22" t="s">
        <v>75</v>
      </c>
    </row>
    <row r="41" spans="1:11" x14ac:dyDescent="0.25">
      <c r="A41" s="22" t="s">
        <v>55</v>
      </c>
      <c r="B41" s="22" t="s">
        <v>53</v>
      </c>
      <c r="C41" s="22" t="s">
        <v>28</v>
      </c>
      <c r="D41" s="22" t="s">
        <v>53</v>
      </c>
      <c r="E41" s="22" t="s">
        <v>53</v>
      </c>
      <c r="F41" s="22" t="s">
        <v>170</v>
      </c>
      <c r="G41" s="22" t="s">
        <v>75</v>
      </c>
      <c r="H41" s="22" t="s">
        <v>75</v>
      </c>
      <c r="I41" s="22" t="s">
        <v>75</v>
      </c>
      <c r="J41" s="22" t="s">
        <v>75</v>
      </c>
      <c r="K41" s="22" t="s">
        <v>75</v>
      </c>
    </row>
    <row r="42" spans="1:11" x14ac:dyDescent="0.25">
      <c r="A42" s="22" t="s">
        <v>55</v>
      </c>
      <c r="B42" s="22" t="s">
        <v>53</v>
      </c>
      <c r="C42" s="22" t="s">
        <v>88</v>
      </c>
      <c r="D42" s="22" t="s">
        <v>53</v>
      </c>
      <c r="E42" s="22" t="s">
        <v>53</v>
      </c>
      <c r="F42" s="22" t="s">
        <v>170</v>
      </c>
      <c r="G42" s="22" t="s">
        <v>75</v>
      </c>
      <c r="H42" s="22" t="s">
        <v>75</v>
      </c>
      <c r="I42" s="22" t="s">
        <v>75</v>
      </c>
      <c r="J42" s="22" t="s">
        <v>75</v>
      </c>
      <c r="K42" s="22" t="s">
        <v>75</v>
      </c>
    </row>
    <row r="43" spans="1:11" x14ac:dyDescent="0.25">
      <c r="A43" s="22" t="s">
        <v>55</v>
      </c>
      <c r="B43" s="22" t="s">
        <v>53</v>
      </c>
      <c r="C43" s="22" t="s">
        <v>83</v>
      </c>
      <c r="D43" s="22" t="s">
        <v>53</v>
      </c>
      <c r="E43" s="22" t="s">
        <v>53</v>
      </c>
      <c r="F43" s="22" t="s">
        <v>171</v>
      </c>
      <c r="G43" s="22" t="s">
        <v>75</v>
      </c>
      <c r="H43" s="22" t="s">
        <v>75</v>
      </c>
      <c r="I43" s="22" t="s">
        <v>75</v>
      </c>
      <c r="J43" s="22" t="s">
        <v>75</v>
      </c>
      <c r="K43" s="22" t="s">
        <v>75</v>
      </c>
    </row>
    <row r="44" spans="1:11" x14ac:dyDescent="0.25">
      <c r="A44" s="22" t="s">
        <v>55</v>
      </c>
      <c r="B44" s="22" t="s">
        <v>53</v>
      </c>
      <c r="C44" s="22" t="s">
        <v>86</v>
      </c>
      <c r="D44" s="22" t="s">
        <v>53</v>
      </c>
      <c r="E44" s="22" t="s">
        <v>53</v>
      </c>
      <c r="F44" s="22" t="s">
        <v>171</v>
      </c>
      <c r="G44" s="22" t="s">
        <v>75</v>
      </c>
      <c r="H44" s="22" t="s">
        <v>75</v>
      </c>
      <c r="I44" s="22" t="s">
        <v>75</v>
      </c>
      <c r="J44" s="22" t="s">
        <v>75</v>
      </c>
      <c r="K44" s="22" t="s">
        <v>75</v>
      </c>
    </row>
    <row r="45" spans="1:11" x14ac:dyDescent="0.25">
      <c r="A45" s="22" t="s">
        <v>55</v>
      </c>
      <c r="B45" s="22" t="s">
        <v>53</v>
      </c>
      <c r="C45" s="22" t="s">
        <v>145</v>
      </c>
      <c r="D45" s="22" t="s">
        <v>53</v>
      </c>
      <c r="E45" s="22" t="s">
        <v>53</v>
      </c>
      <c r="F45" s="22" t="s">
        <v>171</v>
      </c>
      <c r="G45" s="22" t="s">
        <v>75</v>
      </c>
      <c r="H45" s="22" t="s">
        <v>75</v>
      </c>
      <c r="I45" s="22" t="s">
        <v>75</v>
      </c>
      <c r="J45" s="22" t="s">
        <v>75</v>
      </c>
      <c r="K45" s="22" t="s">
        <v>75</v>
      </c>
    </row>
    <row r="46" spans="1:11" x14ac:dyDescent="0.25">
      <c r="A46" s="22" t="s">
        <v>55</v>
      </c>
      <c r="B46" s="22" t="s">
        <v>53</v>
      </c>
      <c r="C46" s="22" t="s">
        <v>70</v>
      </c>
      <c r="D46" s="22" t="s">
        <v>53</v>
      </c>
      <c r="E46" s="22" t="s">
        <v>53</v>
      </c>
      <c r="F46" s="22" t="s">
        <v>172</v>
      </c>
      <c r="G46" s="22" t="s">
        <v>75</v>
      </c>
      <c r="H46" s="22" t="s">
        <v>75</v>
      </c>
      <c r="I46" s="22" t="s">
        <v>75</v>
      </c>
      <c r="J46" s="22" t="s">
        <v>75</v>
      </c>
      <c r="K46" s="22" t="s">
        <v>75</v>
      </c>
    </row>
    <row r="47" spans="1:11" x14ac:dyDescent="0.25">
      <c r="A47" s="22" t="s">
        <v>55</v>
      </c>
      <c r="B47" s="22" t="s">
        <v>53</v>
      </c>
      <c r="C47" s="22" t="s">
        <v>105</v>
      </c>
      <c r="D47" s="22" t="s">
        <v>53</v>
      </c>
      <c r="E47" s="22" t="s">
        <v>53</v>
      </c>
      <c r="F47" s="22" t="s">
        <v>172</v>
      </c>
      <c r="G47" s="22" t="s">
        <v>75</v>
      </c>
      <c r="H47" s="22" t="s">
        <v>75</v>
      </c>
      <c r="I47" s="22" t="s">
        <v>75</v>
      </c>
      <c r="J47" s="22" t="s">
        <v>75</v>
      </c>
      <c r="K47" s="22" t="s">
        <v>75</v>
      </c>
    </row>
    <row r="48" spans="1:11" x14ac:dyDescent="0.25">
      <c r="A48" s="22" t="s">
        <v>55</v>
      </c>
      <c r="B48" s="22" t="s">
        <v>53</v>
      </c>
      <c r="C48" s="22" t="s">
        <v>93</v>
      </c>
      <c r="D48" s="22" t="s">
        <v>53</v>
      </c>
      <c r="E48" s="22" t="s">
        <v>53</v>
      </c>
      <c r="F48" s="22" t="s">
        <v>172</v>
      </c>
      <c r="G48" s="22" t="s">
        <v>75</v>
      </c>
      <c r="H48" s="22" t="s">
        <v>75</v>
      </c>
      <c r="I48" s="22" t="s">
        <v>75</v>
      </c>
      <c r="J48" s="22" t="s">
        <v>75</v>
      </c>
      <c r="K48" s="22" t="s">
        <v>75</v>
      </c>
    </row>
    <row r="49" spans="1:11" x14ac:dyDescent="0.25">
      <c r="A49" s="22" t="s">
        <v>55</v>
      </c>
      <c r="B49" s="22" t="s">
        <v>53</v>
      </c>
      <c r="C49" s="22" t="s">
        <v>102</v>
      </c>
      <c r="D49" s="22" t="s">
        <v>53</v>
      </c>
      <c r="E49" s="22" t="s">
        <v>53</v>
      </c>
      <c r="F49" s="22" t="s">
        <v>173</v>
      </c>
      <c r="G49" s="22" t="s">
        <v>75</v>
      </c>
      <c r="H49" s="22" t="s">
        <v>75</v>
      </c>
      <c r="I49" s="22" t="s">
        <v>75</v>
      </c>
      <c r="J49" s="22" t="s">
        <v>75</v>
      </c>
      <c r="K49" s="22" t="s">
        <v>75</v>
      </c>
    </row>
    <row r="50" spans="1:11" x14ac:dyDescent="0.25">
      <c r="A50" s="22" t="s">
        <v>55</v>
      </c>
      <c r="B50" s="22" t="s">
        <v>53</v>
      </c>
      <c r="C50" s="22" t="s">
        <v>120</v>
      </c>
      <c r="D50" s="22" t="s">
        <v>53</v>
      </c>
      <c r="E50" s="22" t="s">
        <v>53</v>
      </c>
      <c r="F50" s="22" t="s">
        <v>173</v>
      </c>
      <c r="G50" s="22" t="s">
        <v>75</v>
      </c>
      <c r="H50" s="22" t="s">
        <v>75</v>
      </c>
      <c r="I50" s="22" t="s">
        <v>75</v>
      </c>
      <c r="J50" s="22" t="s">
        <v>75</v>
      </c>
      <c r="K50" s="22" t="s">
        <v>75</v>
      </c>
    </row>
    <row r="51" spans="1:11" x14ac:dyDescent="0.25">
      <c r="A51" s="22" t="s">
        <v>55</v>
      </c>
      <c r="B51" s="22" t="s">
        <v>53</v>
      </c>
      <c r="C51" s="22" t="s">
        <v>130</v>
      </c>
      <c r="D51" s="22" t="s">
        <v>53</v>
      </c>
      <c r="E51" s="22" t="s">
        <v>53</v>
      </c>
      <c r="F51" s="22" t="s">
        <v>174</v>
      </c>
      <c r="G51" s="22" t="s">
        <v>75</v>
      </c>
      <c r="H51" s="22" t="s">
        <v>75</v>
      </c>
      <c r="I51" s="22" t="s">
        <v>75</v>
      </c>
      <c r="J51" s="22" t="s">
        <v>75</v>
      </c>
      <c r="K51" s="22" t="s">
        <v>75</v>
      </c>
    </row>
    <row r="52" spans="1:11" x14ac:dyDescent="0.25">
      <c r="A52" s="22" t="s">
        <v>55</v>
      </c>
      <c r="B52" s="22" t="s">
        <v>53</v>
      </c>
      <c r="C52" s="22" t="s">
        <v>67</v>
      </c>
      <c r="D52" s="22" t="s">
        <v>53</v>
      </c>
      <c r="E52" s="22" t="s">
        <v>53</v>
      </c>
      <c r="F52" s="22" t="s">
        <v>174</v>
      </c>
      <c r="G52" s="22" t="s">
        <v>75</v>
      </c>
      <c r="H52" s="22" t="s">
        <v>75</v>
      </c>
      <c r="I52" s="22" t="s">
        <v>75</v>
      </c>
      <c r="J52" s="22" t="s">
        <v>75</v>
      </c>
      <c r="K52" s="22" t="s">
        <v>75</v>
      </c>
    </row>
    <row r="53" spans="1:11" x14ac:dyDescent="0.25">
      <c r="A53" s="22" t="s">
        <v>55</v>
      </c>
      <c r="B53" s="22" t="s">
        <v>53</v>
      </c>
      <c r="C53" s="22" t="s">
        <v>129</v>
      </c>
      <c r="D53" s="22" t="s">
        <v>53</v>
      </c>
      <c r="E53" s="22" t="s">
        <v>53</v>
      </c>
      <c r="F53" s="22" t="s">
        <v>174</v>
      </c>
      <c r="G53" s="22" t="s">
        <v>75</v>
      </c>
      <c r="H53" s="22" t="s">
        <v>75</v>
      </c>
      <c r="I53" s="22" t="s">
        <v>75</v>
      </c>
      <c r="J53" s="22" t="s">
        <v>75</v>
      </c>
      <c r="K53" s="22" t="s">
        <v>75</v>
      </c>
    </row>
    <row r="54" spans="1:11" x14ac:dyDescent="0.25">
      <c r="A54" s="22" t="s">
        <v>55</v>
      </c>
      <c r="B54" s="22" t="s">
        <v>53</v>
      </c>
      <c r="C54" s="22" t="s">
        <v>133</v>
      </c>
      <c r="D54" s="22" t="s">
        <v>53</v>
      </c>
      <c r="E54" s="22" t="s">
        <v>53</v>
      </c>
      <c r="F54" s="22" t="s">
        <v>175</v>
      </c>
      <c r="G54" s="22" t="s">
        <v>75</v>
      </c>
      <c r="H54" s="22" t="s">
        <v>75</v>
      </c>
      <c r="I54" s="22" t="s">
        <v>75</v>
      </c>
      <c r="J54" s="22" t="s">
        <v>75</v>
      </c>
      <c r="K54" s="22" t="s">
        <v>75</v>
      </c>
    </row>
    <row r="55" spans="1:11" x14ac:dyDescent="0.25">
      <c r="A55" s="22" t="s">
        <v>55</v>
      </c>
      <c r="B55" s="22" t="s">
        <v>53</v>
      </c>
      <c r="C55" s="22" t="s">
        <v>109</v>
      </c>
      <c r="D55" s="22" t="s">
        <v>53</v>
      </c>
      <c r="E55" s="22" t="s">
        <v>53</v>
      </c>
      <c r="F55" s="22" t="s">
        <v>175</v>
      </c>
      <c r="G55" s="22" t="s">
        <v>75</v>
      </c>
      <c r="H55" s="22" t="s">
        <v>75</v>
      </c>
      <c r="I55" s="22" t="s">
        <v>75</v>
      </c>
      <c r="J55" s="22" t="s">
        <v>75</v>
      </c>
      <c r="K55" s="22" t="s">
        <v>75</v>
      </c>
    </row>
    <row r="56" spans="1:11" x14ac:dyDescent="0.25">
      <c r="A56" s="22" t="s">
        <v>55</v>
      </c>
      <c r="B56" s="22" t="s">
        <v>53</v>
      </c>
      <c r="C56" s="22" t="s">
        <v>146</v>
      </c>
      <c r="D56" s="22" t="s">
        <v>53</v>
      </c>
      <c r="E56" s="22" t="s">
        <v>53</v>
      </c>
      <c r="F56" s="22" t="s">
        <v>175</v>
      </c>
      <c r="G56" s="22" t="s">
        <v>75</v>
      </c>
      <c r="H56" s="22" t="s">
        <v>75</v>
      </c>
      <c r="I56" s="22" t="s">
        <v>75</v>
      </c>
      <c r="J56" s="22" t="s">
        <v>75</v>
      </c>
      <c r="K56" s="22" t="s">
        <v>75</v>
      </c>
    </row>
    <row r="57" spans="1:11" x14ac:dyDescent="0.25">
      <c r="A57" s="22" t="s">
        <v>55</v>
      </c>
      <c r="B57" s="22" t="s">
        <v>53</v>
      </c>
      <c r="C57" s="22" t="s">
        <v>123</v>
      </c>
      <c r="D57" s="22" t="s">
        <v>53</v>
      </c>
      <c r="E57" s="22" t="s">
        <v>53</v>
      </c>
      <c r="F57" s="22" t="s">
        <v>176</v>
      </c>
      <c r="G57" s="22" t="s">
        <v>75</v>
      </c>
      <c r="H57" s="22" t="s">
        <v>75</v>
      </c>
      <c r="I57" s="22" t="s">
        <v>75</v>
      </c>
      <c r="J57" s="22" t="s">
        <v>75</v>
      </c>
      <c r="K57" s="22" t="s">
        <v>75</v>
      </c>
    </row>
    <row r="58" spans="1:11" x14ac:dyDescent="0.25">
      <c r="A58" s="22" t="s">
        <v>55</v>
      </c>
      <c r="B58" s="22" t="s">
        <v>53</v>
      </c>
      <c r="C58" s="22" t="s">
        <v>40</v>
      </c>
      <c r="D58" s="22" t="s">
        <v>53</v>
      </c>
      <c r="E58" s="22" t="s">
        <v>53</v>
      </c>
      <c r="F58" s="22" t="s">
        <v>176</v>
      </c>
      <c r="G58" s="22" t="s">
        <v>75</v>
      </c>
      <c r="H58" s="22" t="s">
        <v>75</v>
      </c>
      <c r="I58" s="22" t="s">
        <v>75</v>
      </c>
      <c r="J58" s="22" t="s">
        <v>75</v>
      </c>
      <c r="K58" s="22" t="s">
        <v>75</v>
      </c>
    </row>
    <row r="59" spans="1:11" x14ac:dyDescent="0.25">
      <c r="A59" s="22" t="s">
        <v>55</v>
      </c>
      <c r="B59" s="22" t="s">
        <v>53</v>
      </c>
      <c r="C59" s="22" t="s">
        <v>147</v>
      </c>
      <c r="D59" s="22" t="s">
        <v>53</v>
      </c>
      <c r="E59" s="22" t="s">
        <v>53</v>
      </c>
      <c r="F59" s="22" t="s">
        <v>176</v>
      </c>
      <c r="G59" s="22" t="s">
        <v>75</v>
      </c>
      <c r="H59" s="22" t="s">
        <v>75</v>
      </c>
      <c r="I59" s="22" t="s">
        <v>75</v>
      </c>
      <c r="J59" s="22" t="s">
        <v>75</v>
      </c>
      <c r="K59" s="22" t="s">
        <v>75</v>
      </c>
    </row>
    <row r="60" spans="1:11" x14ac:dyDescent="0.25">
      <c r="A60" s="22" t="s">
        <v>55</v>
      </c>
      <c r="B60" s="22" t="s">
        <v>53</v>
      </c>
      <c r="C60" s="22" t="s">
        <v>136</v>
      </c>
      <c r="D60" s="22" t="s">
        <v>53</v>
      </c>
      <c r="E60" s="22" t="s">
        <v>53</v>
      </c>
      <c r="F60" s="22" t="s">
        <v>177</v>
      </c>
      <c r="G60" s="22" t="s">
        <v>75</v>
      </c>
      <c r="H60" s="22" t="s">
        <v>75</v>
      </c>
      <c r="I60" s="22" t="s">
        <v>75</v>
      </c>
      <c r="J60" s="22" t="s">
        <v>75</v>
      </c>
      <c r="K60" s="22" t="s">
        <v>75</v>
      </c>
    </row>
    <row r="61" spans="1:11" x14ac:dyDescent="0.25">
      <c r="A61" s="22" t="s">
        <v>55</v>
      </c>
      <c r="B61" s="22" t="s">
        <v>53</v>
      </c>
      <c r="C61" s="22" t="s">
        <v>132</v>
      </c>
      <c r="D61" s="22" t="s">
        <v>53</v>
      </c>
      <c r="E61" s="22" t="s">
        <v>53</v>
      </c>
      <c r="F61" s="22" t="s">
        <v>177</v>
      </c>
      <c r="G61" s="22" t="s">
        <v>75</v>
      </c>
      <c r="H61" s="22" t="s">
        <v>75</v>
      </c>
      <c r="I61" s="22" t="s">
        <v>75</v>
      </c>
      <c r="J61" s="22" t="s">
        <v>75</v>
      </c>
      <c r="K61" s="22" t="s">
        <v>75</v>
      </c>
    </row>
    <row r="62" spans="1:11" x14ac:dyDescent="0.25">
      <c r="A62" s="22" t="s">
        <v>55</v>
      </c>
      <c r="B62" s="22" t="s">
        <v>53</v>
      </c>
      <c r="C62" s="22" t="s">
        <v>148</v>
      </c>
      <c r="D62" s="22" t="s">
        <v>53</v>
      </c>
      <c r="E62" s="22" t="s">
        <v>53</v>
      </c>
      <c r="F62" s="22" t="s">
        <v>177</v>
      </c>
      <c r="G62" s="22" t="s">
        <v>75</v>
      </c>
      <c r="H62" s="22" t="s">
        <v>75</v>
      </c>
      <c r="I62" s="22" t="s">
        <v>75</v>
      </c>
      <c r="J62" s="22" t="s">
        <v>75</v>
      </c>
      <c r="K62" s="22" t="s">
        <v>75</v>
      </c>
    </row>
    <row r="63" spans="1:11" x14ac:dyDescent="0.25">
      <c r="A63" s="22" t="s">
        <v>55</v>
      </c>
      <c r="B63" s="22" t="s">
        <v>53</v>
      </c>
      <c r="C63" s="22" t="s">
        <v>110</v>
      </c>
      <c r="D63" s="22" t="s">
        <v>53</v>
      </c>
      <c r="E63" s="22" t="s">
        <v>53</v>
      </c>
      <c r="F63" s="22" t="s">
        <v>178</v>
      </c>
      <c r="G63" s="22" t="s">
        <v>75</v>
      </c>
      <c r="H63" s="22" t="s">
        <v>75</v>
      </c>
      <c r="I63" s="22" t="s">
        <v>75</v>
      </c>
      <c r="J63" s="22" t="s">
        <v>75</v>
      </c>
      <c r="K63" s="22" t="s">
        <v>75</v>
      </c>
    </row>
    <row r="64" spans="1:11" x14ac:dyDescent="0.25">
      <c r="A64" s="22" t="s">
        <v>55</v>
      </c>
      <c r="B64" s="22" t="s">
        <v>53</v>
      </c>
      <c r="C64" s="22" t="s">
        <v>36</v>
      </c>
      <c r="D64" s="22" t="s">
        <v>53</v>
      </c>
      <c r="E64" s="22" t="s">
        <v>53</v>
      </c>
      <c r="F64" s="22" t="s">
        <v>178</v>
      </c>
      <c r="G64" s="22" t="s">
        <v>75</v>
      </c>
      <c r="H64" s="22" t="s">
        <v>75</v>
      </c>
      <c r="I64" s="22" t="s">
        <v>75</v>
      </c>
      <c r="J64" s="22" t="s">
        <v>75</v>
      </c>
      <c r="K64" s="22" t="s">
        <v>75</v>
      </c>
    </row>
    <row r="65" spans="1:11" x14ac:dyDescent="0.25">
      <c r="A65" s="22" t="s">
        <v>55</v>
      </c>
      <c r="B65" s="22" t="s">
        <v>53</v>
      </c>
      <c r="C65" s="22" t="s">
        <v>111</v>
      </c>
      <c r="D65" s="22" t="s">
        <v>53</v>
      </c>
      <c r="E65" s="22" t="s">
        <v>53</v>
      </c>
      <c r="F65" s="22" t="s">
        <v>178</v>
      </c>
      <c r="G65" s="22" t="s">
        <v>75</v>
      </c>
      <c r="H65" s="22" t="s">
        <v>75</v>
      </c>
      <c r="I65" s="22" t="s">
        <v>75</v>
      </c>
      <c r="J65" s="22" t="s">
        <v>75</v>
      </c>
      <c r="K65" s="22" t="s">
        <v>75</v>
      </c>
    </row>
    <row r="66" spans="1:11" x14ac:dyDescent="0.25">
      <c r="A66" s="22" t="s">
        <v>55</v>
      </c>
      <c r="B66" s="22" t="s">
        <v>53</v>
      </c>
      <c r="C66" s="22" t="s">
        <v>128</v>
      </c>
      <c r="D66" s="22" t="s">
        <v>53</v>
      </c>
      <c r="E66" s="22" t="s">
        <v>53</v>
      </c>
      <c r="F66" s="22" t="s">
        <v>179</v>
      </c>
      <c r="G66" s="22" t="s">
        <v>75</v>
      </c>
      <c r="H66" s="22" t="s">
        <v>75</v>
      </c>
      <c r="I66" s="22" t="s">
        <v>75</v>
      </c>
      <c r="J66" s="22" t="s">
        <v>75</v>
      </c>
      <c r="K66" s="22" t="s">
        <v>75</v>
      </c>
    </row>
    <row r="67" spans="1:11" x14ac:dyDescent="0.25">
      <c r="A67" s="22" t="s">
        <v>55</v>
      </c>
      <c r="B67" s="22" t="s">
        <v>53</v>
      </c>
      <c r="C67" s="22" t="s">
        <v>92</v>
      </c>
      <c r="D67" s="22" t="s">
        <v>53</v>
      </c>
      <c r="E67" s="22" t="s">
        <v>53</v>
      </c>
      <c r="F67" s="22" t="s">
        <v>179</v>
      </c>
      <c r="G67" s="22" t="s">
        <v>75</v>
      </c>
      <c r="H67" s="22" t="s">
        <v>75</v>
      </c>
      <c r="I67" s="22" t="s">
        <v>75</v>
      </c>
      <c r="J67" s="22" t="s">
        <v>75</v>
      </c>
      <c r="K67" s="22" t="s">
        <v>75</v>
      </c>
    </row>
    <row r="68" spans="1:11" x14ac:dyDescent="0.25">
      <c r="A68" s="22" t="s">
        <v>55</v>
      </c>
      <c r="B68" s="22" t="s">
        <v>53</v>
      </c>
      <c r="C68" s="22" t="s">
        <v>149</v>
      </c>
      <c r="D68" s="22" t="s">
        <v>53</v>
      </c>
      <c r="E68" s="22" t="s">
        <v>53</v>
      </c>
      <c r="F68" s="22" t="s">
        <v>179</v>
      </c>
      <c r="G68" s="22" t="s">
        <v>75</v>
      </c>
      <c r="H68" s="22" t="s">
        <v>75</v>
      </c>
      <c r="I68" s="22" t="s">
        <v>75</v>
      </c>
      <c r="J68" s="22" t="s">
        <v>75</v>
      </c>
      <c r="K68" s="22" t="s">
        <v>75</v>
      </c>
    </row>
    <row r="69" spans="1:11" x14ac:dyDescent="0.25">
      <c r="A69" s="22" t="s">
        <v>55</v>
      </c>
      <c r="B69" s="22" t="s">
        <v>53</v>
      </c>
      <c r="C69" s="22" t="s">
        <v>150</v>
      </c>
      <c r="D69" s="22" t="s">
        <v>53</v>
      </c>
      <c r="E69" s="22" t="s">
        <v>53</v>
      </c>
      <c r="F69" s="22" t="s">
        <v>180</v>
      </c>
      <c r="G69" s="22" t="s">
        <v>75</v>
      </c>
      <c r="H69" s="22" t="s">
        <v>75</v>
      </c>
      <c r="I69" s="22" t="s">
        <v>75</v>
      </c>
      <c r="J69" s="22" t="s">
        <v>75</v>
      </c>
      <c r="K69" s="22" t="s">
        <v>75</v>
      </c>
    </row>
    <row r="70" spans="1:11" x14ac:dyDescent="0.25">
      <c r="A70" s="22" t="s">
        <v>55</v>
      </c>
      <c r="B70" s="22" t="s">
        <v>53</v>
      </c>
      <c r="C70" s="22" t="s">
        <v>116</v>
      </c>
      <c r="D70" s="22" t="s">
        <v>53</v>
      </c>
      <c r="E70" s="22" t="s">
        <v>53</v>
      </c>
      <c r="F70" s="22" t="s">
        <v>180</v>
      </c>
      <c r="G70" s="22" t="s">
        <v>75</v>
      </c>
      <c r="H70" s="22" t="s">
        <v>75</v>
      </c>
      <c r="I70" s="22" t="s">
        <v>75</v>
      </c>
      <c r="J70" s="22" t="s">
        <v>75</v>
      </c>
      <c r="K70" s="22" t="s">
        <v>75</v>
      </c>
    </row>
    <row r="71" spans="1:11" x14ac:dyDescent="0.25">
      <c r="A71" s="22" t="s">
        <v>55</v>
      </c>
      <c r="B71" s="22" t="s">
        <v>53</v>
      </c>
      <c r="C71" s="22" t="s">
        <v>94</v>
      </c>
      <c r="D71" s="22" t="s">
        <v>53</v>
      </c>
      <c r="E71" s="22" t="s">
        <v>53</v>
      </c>
      <c r="F71" s="22" t="s">
        <v>180</v>
      </c>
      <c r="G71" s="22" t="s">
        <v>75</v>
      </c>
      <c r="H71" s="22" t="s">
        <v>75</v>
      </c>
      <c r="I71" s="22" t="s">
        <v>75</v>
      </c>
      <c r="J71" s="22" t="s">
        <v>75</v>
      </c>
      <c r="K71" s="22" t="s">
        <v>75</v>
      </c>
    </row>
    <row r="72" spans="1:11" x14ac:dyDescent="0.25">
      <c r="A72" s="22" t="s">
        <v>55</v>
      </c>
      <c r="B72" s="22" t="s">
        <v>53</v>
      </c>
      <c r="C72" s="22" t="s">
        <v>99</v>
      </c>
      <c r="D72" s="22" t="s">
        <v>53</v>
      </c>
      <c r="E72" s="22" t="s">
        <v>53</v>
      </c>
      <c r="F72" s="22" t="s">
        <v>181</v>
      </c>
      <c r="G72" s="22" t="s">
        <v>75</v>
      </c>
      <c r="H72" s="22" t="s">
        <v>75</v>
      </c>
      <c r="I72" s="22" t="s">
        <v>75</v>
      </c>
      <c r="J72" s="22" t="s">
        <v>75</v>
      </c>
      <c r="K72" s="22" t="s">
        <v>75</v>
      </c>
    </row>
    <row r="73" spans="1:11" x14ac:dyDescent="0.25">
      <c r="A73" s="22" t="s">
        <v>55</v>
      </c>
      <c r="B73" s="22" t="s">
        <v>53</v>
      </c>
      <c r="C73" s="22" t="s">
        <v>113</v>
      </c>
      <c r="D73" s="22" t="s">
        <v>53</v>
      </c>
      <c r="E73" s="22" t="s">
        <v>53</v>
      </c>
      <c r="F73" s="22" t="s">
        <v>181</v>
      </c>
      <c r="G73" s="22" t="s">
        <v>75</v>
      </c>
      <c r="H73" s="22" t="s">
        <v>75</v>
      </c>
      <c r="I73" s="22" t="s">
        <v>75</v>
      </c>
      <c r="J73" s="22" t="s">
        <v>75</v>
      </c>
      <c r="K73" s="22" t="s">
        <v>75</v>
      </c>
    </row>
    <row r="74" spans="1:11" x14ac:dyDescent="0.25">
      <c r="A74" s="22" t="s">
        <v>55</v>
      </c>
      <c r="B74" s="22" t="s">
        <v>53</v>
      </c>
      <c r="C74" s="22" t="s">
        <v>125</v>
      </c>
      <c r="D74" s="22" t="s">
        <v>53</v>
      </c>
      <c r="E74" s="22" t="s">
        <v>53</v>
      </c>
      <c r="F74" s="22" t="s">
        <v>181</v>
      </c>
      <c r="G74" s="22" t="s">
        <v>75</v>
      </c>
      <c r="H74" s="22" t="s">
        <v>75</v>
      </c>
      <c r="I74" s="22" t="s">
        <v>75</v>
      </c>
      <c r="J74" s="22" t="s">
        <v>75</v>
      </c>
      <c r="K74" s="22" t="s">
        <v>75</v>
      </c>
    </row>
    <row r="75" spans="1:11" x14ac:dyDescent="0.25">
      <c r="A75" s="22" t="s">
        <v>55</v>
      </c>
      <c r="B75" s="22" t="s">
        <v>53</v>
      </c>
      <c r="C75" s="22" t="s">
        <v>101</v>
      </c>
      <c r="D75" s="22" t="s">
        <v>53</v>
      </c>
      <c r="E75" s="22" t="s">
        <v>53</v>
      </c>
      <c r="F75" s="22" t="s">
        <v>182</v>
      </c>
      <c r="G75" s="22" t="s">
        <v>75</v>
      </c>
      <c r="H75" s="22" t="s">
        <v>75</v>
      </c>
      <c r="I75" s="22" t="s">
        <v>75</v>
      </c>
      <c r="J75" s="22" t="s">
        <v>75</v>
      </c>
      <c r="K75" s="22" t="s">
        <v>75</v>
      </c>
    </row>
    <row r="76" spans="1:11" x14ac:dyDescent="0.25">
      <c r="A76" s="22" t="s">
        <v>55</v>
      </c>
      <c r="B76" s="22" t="s">
        <v>53</v>
      </c>
      <c r="C76" s="22" t="s">
        <v>34</v>
      </c>
      <c r="D76" s="22" t="s">
        <v>53</v>
      </c>
      <c r="E76" s="22" t="s">
        <v>53</v>
      </c>
      <c r="F76" s="22" t="s">
        <v>182</v>
      </c>
      <c r="G76" s="22" t="s">
        <v>75</v>
      </c>
      <c r="H76" s="22" t="s">
        <v>75</v>
      </c>
      <c r="I76" s="22" t="s">
        <v>75</v>
      </c>
      <c r="J76" s="22" t="s">
        <v>75</v>
      </c>
      <c r="K76" s="22" t="s">
        <v>75</v>
      </c>
    </row>
    <row r="77" spans="1:11" x14ac:dyDescent="0.25">
      <c r="A77" s="22" t="s">
        <v>55</v>
      </c>
      <c r="B77" s="22" t="s">
        <v>53</v>
      </c>
      <c r="C77" s="22" t="s">
        <v>39</v>
      </c>
      <c r="D77" s="22" t="s">
        <v>53</v>
      </c>
      <c r="E77" s="22" t="s">
        <v>53</v>
      </c>
      <c r="F77" s="22" t="s">
        <v>182</v>
      </c>
      <c r="G77" s="22" t="s">
        <v>75</v>
      </c>
      <c r="H77" s="22" t="s">
        <v>75</v>
      </c>
      <c r="I77" s="22" t="s">
        <v>75</v>
      </c>
      <c r="J77" s="22" t="s">
        <v>75</v>
      </c>
      <c r="K77" s="22" t="s">
        <v>75</v>
      </c>
    </row>
    <row r="78" spans="1:11" x14ac:dyDescent="0.25">
      <c r="A78" s="22" t="s">
        <v>55</v>
      </c>
      <c r="B78" s="22" t="s">
        <v>53</v>
      </c>
      <c r="C78" s="22" t="s">
        <v>79</v>
      </c>
      <c r="D78" s="22" t="s">
        <v>53</v>
      </c>
      <c r="E78" s="22" t="s">
        <v>53</v>
      </c>
      <c r="F78" s="22" t="s">
        <v>183</v>
      </c>
      <c r="G78" s="22" t="s">
        <v>75</v>
      </c>
      <c r="H78" s="22" t="s">
        <v>75</v>
      </c>
      <c r="I78" s="22" t="s">
        <v>75</v>
      </c>
      <c r="J78" s="22" t="s">
        <v>75</v>
      </c>
      <c r="K78" s="22" t="s">
        <v>75</v>
      </c>
    </row>
    <row r="79" spans="1:11" x14ac:dyDescent="0.25">
      <c r="A79" s="22" t="s">
        <v>55</v>
      </c>
      <c r="B79" s="22" t="s">
        <v>53</v>
      </c>
      <c r="C79" s="22" t="s">
        <v>52</v>
      </c>
      <c r="D79" s="22" t="s">
        <v>53</v>
      </c>
      <c r="E79" s="22" t="s">
        <v>53</v>
      </c>
      <c r="F79" s="22" t="s">
        <v>183</v>
      </c>
      <c r="G79" s="22" t="s">
        <v>75</v>
      </c>
      <c r="H79" s="22" t="s">
        <v>75</v>
      </c>
      <c r="I79" s="22" t="s">
        <v>75</v>
      </c>
      <c r="J79" s="22" t="s">
        <v>75</v>
      </c>
      <c r="K79" s="22" t="s">
        <v>75</v>
      </c>
    </row>
    <row r="80" spans="1:11" x14ac:dyDescent="0.25">
      <c r="A80" s="22" t="s">
        <v>55</v>
      </c>
      <c r="B80" s="22" t="s">
        <v>53</v>
      </c>
      <c r="C80" s="22" t="s">
        <v>91</v>
      </c>
      <c r="D80" s="22" t="s">
        <v>53</v>
      </c>
      <c r="E80" s="22" t="s">
        <v>53</v>
      </c>
      <c r="F80" s="22" t="s">
        <v>183</v>
      </c>
      <c r="G80" s="22" t="s">
        <v>75</v>
      </c>
      <c r="H80" s="22" t="s">
        <v>75</v>
      </c>
      <c r="I80" s="22" t="s">
        <v>75</v>
      </c>
      <c r="J80" s="22" t="s">
        <v>75</v>
      </c>
      <c r="K80" s="22" t="s">
        <v>75</v>
      </c>
    </row>
    <row r="81" spans="1:11" x14ac:dyDescent="0.25">
      <c r="A81" s="22" t="s">
        <v>55</v>
      </c>
      <c r="B81" s="22" t="s">
        <v>53</v>
      </c>
      <c r="C81" s="22" t="s">
        <v>84</v>
      </c>
      <c r="D81" s="22" t="s">
        <v>53</v>
      </c>
      <c r="E81" s="22" t="s">
        <v>53</v>
      </c>
      <c r="F81" s="22" t="s">
        <v>184</v>
      </c>
      <c r="G81" s="22" t="s">
        <v>75</v>
      </c>
      <c r="H81" s="22" t="s">
        <v>75</v>
      </c>
      <c r="I81" s="22" t="s">
        <v>75</v>
      </c>
      <c r="J81" s="22" t="s">
        <v>75</v>
      </c>
      <c r="K81" s="22" t="s">
        <v>75</v>
      </c>
    </row>
    <row r="82" spans="1:11" x14ac:dyDescent="0.25">
      <c r="A82" s="22" t="s">
        <v>55</v>
      </c>
      <c r="B82" s="22" t="s">
        <v>53</v>
      </c>
      <c r="C82" s="22" t="s">
        <v>30</v>
      </c>
      <c r="D82" s="22" t="s">
        <v>53</v>
      </c>
      <c r="E82" s="22" t="s">
        <v>53</v>
      </c>
      <c r="F82" s="22" t="s">
        <v>184</v>
      </c>
      <c r="G82" s="22" t="s">
        <v>75</v>
      </c>
      <c r="H82" s="22" t="s">
        <v>75</v>
      </c>
      <c r="I82" s="22" t="s">
        <v>75</v>
      </c>
      <c r="J82" s="22" t="s">
        <v>75</v>
      </c>
      <c r="K82" s="22" t="s">
        <v>75</v>
      </c>
    </row>
    <row r="83" spans="1:11" x14ac:dyDescent="0.25">
      <c r="A83" s="22" t="s">
        <v>55</v>
      </c>
      <c r="B83" s="22" t="s">
        <v>53</v>
      </c>
      <c r="C83" s="22" t="s">
        <v>89</v>
      </c>
      <c r="D83" s="22" t="s">
        <v>53</v>
      </c>
      <c r="E83" s="22" t="s">
        <v>53</v>
      </c>
      <c r="F83" s="22" t="s">
        <v>184</v>
      </c>
      <c r="G83" s="22" t="s">
        <v>75</v>
      </c>
      <c r="H83" s="22" t="s">
        <v>75</v>
      </c>
      <c r="I83" s="22" t="s">
        <v>75</v>
      </c>
      <c r="J83" s="22" t="s">
        <v>75</v>
      </c>
      <c r="K83" s="22" t="s">
        <v>75</v>
      </c>
    </row>
    <row r="84" spans="1:11" x14ac:dyDescent="0.25">
      <c r="A84" s="22" t="s">
        <v>55</v>
      </c>
      <c r="B84" s="22" t="s">
        <v>53</v>
      </c>
      <c r="C84" s="22" t="s">
        <v>97</v>
      </c>
      <c r="D84" s="22" t="s">
        <v>53</v>
      </c>
      <c r="E84" s="22" t="s">
        <v>53</v>
      </c>
      <c r="F84" s="22" t="s">
        <v>185</v>
      </c>
      <c r="G84" s="22" t="s">
        <v>75</v>
      </c>
      <c r="H84" s="22" t="s">
        <v>75</v>
      </c>
      <c r="I84" s="22" t="s">
        <v>75</v>
      </c>
      <c r="J84" s="22" t="s">
        <v>75</v>
      </c>
      <c r="K84" s="22" t="s">
        <v>75</v>
      </c>
    </row>
    <row r="85" spans="1:11" x14ac:dyDescent="0.25">
      <c r="A85" s="22" t="s">
        <v>55</v>
      </c>
      <c r="B85" s="22" t="s">
        <v>53</v>
      </c>
      <c r="C85" s="22" t="s">
        <v>31</v>
      </c>
      <c r="D85" s="22" t="s">
        <v>53</v>
      </c>
      <c r="E85" s="22" t="s">
        <v>53</v>
      </c>
      <c r="F85" s="22" t="s">
        <v>185</v>
      </c>
      <c r="G85" s="22" t="s">
        <v>75</v>
      </c>
      <c r="H85" s="22" t="s">
        <v>75</v>
      </c>
      <c r="I85" s="22" t="s">
        <v>75</v>
      </c>
      <c r="J85" s="22" t="s">
        <v>75</v>
      </c>
      <c r="K85" s="22" t="s">
        <v>75</v>
      </c>
    </row>
    <row r="86" spans="1:11" x14ac:dyDescent="0.25">
      <c r="A86" s="22" t="s">
        <v>55</v>
      </c>
      <c r="B86" s="22" t="s">
        <v>53</v>
      </c>
      <c r="C86" s="22" t="s">
        <v>115</v>
      </c>
      <c r="D86" s="22" t="s">
        <v>53</v>
      </c>
      <c r="E86" s="22" t="s">
        <v>53</v>
      </c>
      <c r="F86" s="22" t="s">
        <v>185</v>
      </c>
      <c r="G86" s="22" t="s">
        <v>75</v>
      </c>
      <c r="H86" s="22" t="s">
        <v>75</v>
      </c>
      <c r="I86" s="22" t="s">
        <v>75</v>
      </c>
      <c r="J86" s="22" t="s">
        <v>75</v>
      </c>
      <c r="K86" s="22" t="s">
        <v>75</v>
      </c>
    </row>
    <row r="87" spans="1:11" x14ac:dyDescent="0.25">
      <c r="A87" s="22" t="s">
        <v>55</v>
      </c>
      <c r="B87" s="22" t="s">
        <v>53</v>
      </c>
      <c r="C87" s="22" t="s">
        <v>103</v>
      </c>
      <c r="D87" s="22" t="s">
        <v>53</v>
      </c>
      <c r="E87" s="22" t="s">
        <v>53</v>
      </c>
      <c r="F87" s="22" t="s">
        <v>186</v>
      </c>
      <c r="G87" s="22" t="s">
        <v>75</v>
      </c>
      <c r="H87" s="22" t="s">
        <v>75</v>
      </c>
      <c r="I87" s="22" t="s">
        <v>75</v>
      </c>
      <c r="J87" s="22" t="s">
        <v>75</v>
      </c>
      <c r="K87" s="22" t="s">
        <v>75</v>
      </c>
    </row>
    <row r="88" spans="1:11" x14ac:dyDescent="0.25">
      <c r="A88" s="22" t="s">
        <v>55</v>
      </c>
      <c r="B88" s="22" t="s">
        <v>53</v>
      </c>
      <c r="C88" s="22" t="s">
        <v>80</v>
      </c>
      <c r="D88" s="22" t="s">
        <v>53</v>
      </c>
      <c r="E88" s="22" t="s">
        <v>53</v>
      </c>
      <c r="F88" s="22" t="s">
        <v>186</v>
      </c>
      <c r="G88" s="22" t="s">
        <v>75</v>
      </c>
      <c r="H88" s="22" t="s">
        <v>75</v>
      </c>
      <c r="I88" s="22" t="s">
        <v>75</v>
      </c>
      <c r="J88" s="22" t="s">
        <v>75</v>
      </c>
      <c r="K88" s="22" t="s">
        <v>75</v>
      </c>
    </row>
    <row r="89" spans="1:11" x14ac:dyDescent="0.25">
      <c r="A89" s="22" t="s">
        <v>55</v>
      </c>
      <c r="B89" s="22" t="s">
        <v>53</v>
      </c>
      <c r="C89" s="22" t="s">
        <v>33</v>
      </c>
      <c r="D89" s="22" t="s">
        <v>53</v>
      </c>
      <c r="E89" s="22" t="s">
        <v>53</v>
      </c>
      <c r="F89" s="22" t="s">
        <v>186</v>
      </c>
      <c r="G89" s="22" t="s">
        <v>75</v>
      </c>
      <c r="H89" s="22" t="s">
        <v>75</v>
      </c>
      <c r="I89" s="22" t="s">
        <v>75</v>
      </c>
      <c r="J89" s="22" t="s">
        <v>75</v>
      </c>
      <c r="K89" s="22" t="s">
        <v>75</v>
      </c>
    </row>
    <row r="90" spans="1:11" x14ac:dyDescent="0.25">
      <c r="A90" s="22" t="s">
        <v>55</v>
      </c>
      <c r="B90" s="22" t="s">
        <v>53</v>
      </c>
      <c r="C90" s="22" t="s">
        <v>104</v>
      </c>
      <c r="D90" s="22" t="s">
        <v>53</v>
      </c>
      <c r="E90" s="22" t="s">
        <v>53</v>
      </c>
      <c r="F90" s="22" t="s">
        <v>187</v>
      </c>
      <c r="G90" s="22" t="s">
        <v>75</v>
      </c>
      <c r="H90" s="22" t="s">
        <v>75</v>
      </c>
      <c r="I90" s="22" t="s">
        <v>75</v>
      </c>
      <c r="J90" s="22" t="s">
        <v>75</v>
      </c>
      <c r="K90" s="22" t="s">
        <v>75</v>
      </c>
    </row>
    <row r="91" spans="1:11" x14ac:dyDescent="0.25">
      <c r="A91" s="22" t="s">
        <v>55</v>
      </c>
      <c r="B91" s="22" t="s">
        <v>53</v>
      </c>
      <c r="C91" s="22" t="s">
        <v>35</v>
      </c>
      <c r="D91" s="22" t="s">
        <v>53</v>
      </c>
      <c r="E91" s="22" t="s">
        <v>53</v>
      </c>
      <c r="F91" s="22" t="s">
        <v>187</v>
      </c>
      <c r="G91" s="22" t="s">
        <v>75</v>
      </c>
      <c r="H91" s="22" t="s">
        <v>75</v>
      </c>
      <c r="I91" s="22" t="s">
        <v>75</v>
      </c>
      <c r="J91" s="22" t="s">
        <v>75</v>
      </c>
      <c r="K91" s="22" t="s">
        <v>75</v>
      </c>
    </row>
    <row r="92" spans="1:11" x14ac:dyDescent="0.25">
      <c r="A92" s="22" t="s">
        <v>55</v>
      </c>
      <c r="B92" s="22" t="s">
        <v>53</v>
      </c>
      <c r="C92" s="22" t="s">
        <v>69</v>
      </c>
      <c r="D92" s="22" t="s">
        <v>53</v>
      </c>
      <c r="E92" s="22" t="s">
        <v>53</v>
      </c>
      <c r="F92" s="22" t="s">
        <v>187</v>
      </c>
      <c r="G92" s="22" t="s">
        <v>75</v>
      </c>
      <c r="H92" s="22" t="s">
        <v>75</v>
      </c>
      <c r="I92" s="22" t="s">
        <v>75</v>
      </c>
      <c r="J92" s="22" t="s">
        <v>75</v>
      </c>
      <c r="K92" s="22" t="s">
        <v>75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449738-4002-4E4C-8D19-190798F81E4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Draft_Import</vt:lpstr>
      <vt:lpstr>Draft_Helper</vt:lpstr>
      <vt:lpstr>Team_Scoring</vt:lpstr>
      <vt:lpstr>Team_Summary</vt:lpstr>
      <vt:lpstr>Drafted Teams</vt:lpstr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Melbye</cp:lastModifiedBy>
  <dcterms:created xsi:type="dcterms:W3CDTF">2026-04-06T18:38:51Z</dcterms:created>
  <dcterms:modified xsi:type="dcterms:W3CDTF">2026-04-09T13:53:41Z</dcterms:modified>
</cp:coreProperties>
</file>